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Documents/Yeast Growth conditions paper/"/>
    </mc:Choice>
  </mc:AlternateContent>
  <xr:revisionPtr revIDLastSave="0" documentId="8_{C3E1DD45-7161-4743-B612-8261E2945F3E}" xr6:coauthVersionLast="47" xr6:coauthVersionMax="47" xr10:uidLastSave="{00000000-0000-0000-0000-000000000000}"/>
  <bookViews>
    <workbookView xWindow="160" yWindow="14980" windowWidth="27240" windowHeight="15660" xr2:uid="{58BF02E8-CD58-7B40-A6A8-26972837CD56}"/>
  </bookViews>
  <sheets>
    <sheet name="260122_rom_supplements_2_pomb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N23" i="1"/>
  <c r="M23" i="1"/>
  <c r="L23" i="1"/>
  <c r="K23" i="1"/>
  <c r="J23" i="1"/>
  <c r="I23" i="1"/>
  <c r="H23" i="1"/>
  <c r="G23" i="1"/>
  <c r="F23" i="1"/>
  <c r="E23" i="1"/>
  <c r="D23" i="1"/>
  <c r="C23" i="1"/>
  <c r="N22" i="1"/>
  <c r="M22" i="1"/>
  <c r="L22" i="1"/>
  <c r="K22" i="1"/>
  <c r="J22" i="1"/>
  <c r="I22" i="1"/>
  <c r="H22" i="1"/>
  <c r="G22" i="1"/>
  <c r="F22" i="1"/>
  <c r="E22" i="1"/>
  <c r="D22" i="1"/>
  <c r="C22" i="1"/>
  <c r="N21" i="1"/>
  <c r="M21" i="1"/>
  <c r="L21" i="1"/>
  <c r="K21" i="1"/>
  <c r="J21" i="1"/>
  <c r="I21" i="1"/>
  <c r="H21" i="1"/>
  <c r="G21" i="1"/>
  <c r="F21" i="1"/>
  <c r="E21" i="1"/>
  <c r="D21" i="1"/>
  <c r="C21" i="1"/>
  <c r="N20" i="1"/>
  <c r="M20" i="1"/>
  <c r="L20" i="1"/>
  <c r="K20" i="1"/>
  <c r="J20" i="1"/>
  <c r="I20" i="1"/>
  <c r="H20" i="1"/>
  <c r="G20" i="1"/>
  <c r="F20" i="1"/>
  <c r="E20" i="1"/>
  <c r="D20" i="1"/>
  <c r="C20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C12" i="1"/>
</calcChain>
</file>

<file path=xl/sharedStrings.xml><?xml version="1.0" encoding="utf-8"?>
<sst xmlns="http://schemas.openxmlformats.org/spreadsheetml/2006/main" count="68" uniqueCount="66">
  <si>
    <t>##BLOCKS= 1</t>
  </si>
  <si>
    <t>Plate:</t>
  </si>
  <si>
    <t>Plate6</t>
  </si>
  <si>
    <t>Temperature(¡C)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</si>
  <si>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</si>
  <si>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</si>
  <si>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</si>
  <si>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</si>
  <si>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</si>
  <si>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</si>
  <si>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</si>
  <si>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</si>
  <si>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</si>
  <si>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</si>
  <si>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</si>
  <si>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</si>
  <si>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</si>
  <si>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</si>
  <si>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</si>
  <si>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</si>
  <si>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</si>
  <si>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</si>
  <si>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</si>
  <si>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</si>
  <si>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</si>
  <si>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</si>
  <si>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</si>
  <si>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</si>
  <si>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</si>
  <si>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</si>
  <si>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</si>
  <si>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</si>
  <si>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</si>
  <si>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</si>
  <si>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</si>
  <si>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</si>
  <si>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</si>
  <si>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</si>
  <si>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</si>
  <si>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</si>
  <si>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</si>
  <si>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</si>
  <si>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</si>
  <si>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</si>
  <si>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</si>
  <si>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</si>
  <si>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</si>
  <si>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</si>
  <si>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</si>
  <si>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</si>
  <si>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</si>
  <si>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</si>
  <si>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~End</t>
  </si>
  <si>
    <t>Original Filename: 260122_rom_supplements_2_pombe_beads_pub; Date Last Saved: 1/23/2026 3:32:38 PM</t>
  </si>
  <si>
    <t>2. These are the Ods averages across the scan.</t>
  </si>
  <si>
    <t>3. Now let's arrange them by treatments.</t>
  </si>
  <si>
    <t>dea2^</t>
  </si>
  <si>
    <t>SP286</t>
  </si>
  <si>
    <t>H</t>
  </si>
  <si>
    <t>E</t>
  </si>
  <si>
    <t>F</t>
  </si>
  <si>
    <t>G</t>
  </si>
  <si>
    <t>4. finally, let's avergae by treatment across bio replicates.</t>
  </si>
  <si>
    <t>these treatments 6 and 7 were consistently the best across both genotypes.</t>
  </si>
  <si>
    <t>Weird! All supplements together match no supplements at all! Huh?!</t>
  </si>
  <si>
    <t xml:space="preserve">I am definitely seeing some consistent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</si>
</sst>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7928-9FFC-F745-BB6B-DCC2B274CA84}">
  <dimension ref="A1:AX38"/>
  <sheetViews>
    <sheetView tabSelected="1" topLeftCell="A11" workbookViewId="0">
      <selection activeCell="B29" sqref="B29:D37"/>
    </sheetView>
  </sheetViews>
  <sheetFormatPr baseColWidth="10" defaultRowHeight="16" x14ac:dyDescent="0.2"/>
  <sheetData>
    <row r="1" spans="1:50" x14ac:dyDescent="0.2">
      <c r="A1" t="s">
        <v>0</v>
      </c>
    </row>
    <row r="2" spans="1:50" x14ac:dyDescent="0.2">
      <c r="A2" t="s">
        <v>1</v>
      </c>
      <c r="B2" t="s">
        <v>2</v>
      </c>
    </row>
    <row r="3" spans="1:50" x14ac:dyDescent="0.2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</row>
    <row r="4" spans="1:50" x14ac:dyDescent="0.2">
      <c r="A4">
        <v>1</v>
      </c>
      <c r="B4">
        <v>29.8</v>
      </c>
      <c r="C4">
        <v>0.1318</v>
      </c>
      <c r="D4">
        <v>0.13389999999999999</v>
      </c>
      <c r="E4">
        <v>0.12839999999999999</v>
      </c>
      <c r="F4">
        <v>0.1154</v>
      </c>
      <c r="G4">
        <v>0.1128</v>
      </c>
      <c r="H4">
        <v>0.1164</v>
      </c>
      <c r="I4">
        <v>0.2072</v>
      </c>
      <c r="J4">
        <v>0.1961</v>
      </c>
      <c r="K4">
        <v>0.2001</v>
      </c>
      <c r="L4">
        <v>0.155</v>
      </c>
      <c r="M4">
        <v>0.1598</v>
      </c>
      <c r="N4">
        <v>0.15359999999999999</v>
      </c>
      <c r="O4">
        <v>0.12970000000000001</v>
      </c>
      <c r="P4">
        <v>0.12740000000000001</v>
      </c>
      <c r="Q4">
        <v>0.13339999999999999</v>
      </c>
      <c r="R4">
        <v>0.1124</v>
      </c>
      <c r="S4">
        <v>0.1173</v>
      </c>
      <c r="T4">
        <v>0.1148</v>
      </c>
      <c r="U4">
        <v>0.2195</v>
      </c>
      <c r="V4">
        <v>0.2092</v>
      </c>
      <c r="W4">
        <v>0.20399999999999999</v>
      </c>
      <c r="X4">
        <v>0.15679999999999999</v>
      </c>
      <c r="Y4">
        <v>0.18709999999999999</v>
      </c>
      <c r="Z4">
        <v>0.1676</v>
      </c>
      <c r="AA4">
        <v>0.1409</v>
      </c>
      <c r="AB4">
        <v>0.1333</v>
      </c>
      <c r="AC4">
        <v>0.1444</v>
      </c>
      <c r="AD4">
        <v>0.13150000000000001</v>
      </c>
      <c r="AE4">
        <v>0.1371</v>
      </c>
      <c r="AF4">
        <v>0.13289999999999999</v>
      </c>
      <c r="AG4">
        <v>0.21029999999999999</v>
      </c>
      <c r="AH4">
        <v>0.218</v>
      </c>
      <c r="AI4">
        <v>0.2135</v>
      </c>
      <c r="AJ4">
        <v>0.2157</v>
      </c>
      <c r="AK4">
        <v>0.22409999999999999</v>
      </c>
      <c r="AL4">
        <v>0.2248</v>
      </c>
      <c r="AM4">
        <v>0.10979999999999999</v>
      </c>
      <c r="AN4">
        <v>0.1115</v>
      </c>
      <c r="AO4">
        <v>0.1258</v>
      </c>
      <c r="AP4">
        <v>0.1205</v>
      </c>
      <c r="AQ4">
        <v>0.1186</v>
      </c>
      <c r="AR4">
        <v>0.1217</v>
      </c>
      <c r="AS4">
        <v>0.13400000000000001</v>
      </c>
      <c r="AT4">
        <v>0.13400000000000001</v>
      </c>
      <c r="AU4">
        <v>0.14249999999999999</v>
      </c>
      <c r="AV4">
        <v>0.19600000000000001</v>
      </c>
      <c r="AW4">
        <v>0.19869999999999999</v>
      </c>
      <c r="AX4">
        <v>0.217</v>
      </c>
    </row>
    <row r="5" spans="1:50" x14ac:dyDescent="0.2">
      <c r="A5">
        <v>2</v>
      </c>
      <c r="B5">
        <v>29.8</v>
      </c>
      <c r="C5">
        <v>0.1295</v>
      </c>
      <c r="D5">
        <v>0.13170000000000001</v>
      </c>
      <c r="E5">
        <v>0.1242</v>
      </c>
      <c r="F5">
        <v>0.11260000000000001</v>
      </c>
      <c r="G5">
        <v>0.10920000000000001</v>
      </c>
      <c r="H5">
        <v>0.1138</v>
      </c>
      <c r="I5">
        <v>0.20599999999999999</v>
      </c>
      <c r="J5">
        <v>0.19539999999999999</v>
      </c>
      <c r="K5">
        <v>0.19670000000000001</v>
      </c>
      <c r="L5">
        <v>0.14760000000000001</v>
      </c>
      <c r="M5">
        <v>0.1527</v>
      </c>
      <c r="N5">
        <v>0.14829999999999999</v>
      </c>
      <c r="O5">
        <v>0.12820000000000001</v>
      </c>
      <c r="P5">
        <v>0.12620000000000001</v>
      </c>
      <c r="Q5">
        <v>0.13239999999999999</v>
      </c>
      <c r="R5">
        <v>0.11459999999999999</v>
      </c>
      <c r="S5">
        <v>0.1178</v>
      </c>
      <c r="T5">
        <v>0.114</v>
      </c>
      <c r="U5">
        <v>0.22789999999999999</v>
      </c>
      <c r="V5">
        <v>0.21299999999999999</v>
      </c>
      <c r="W5">
        <v>0.2109</v>
      </c>
      <c r="X5">
        <v>0.15890000000000001</v>
      </c>
      <c r="Y5">
        <v>0.1883</v>
      </c>
      <c r="Z5">
        <v>0.1676</v>
      </c>
      <c r="AA5">
        <v>0.1401</v>
      </c>
      <c r="AB5">
        <v>0.1308</v>
      </c>
      <c r="AC5">
        <v>0.1409</v>
      </c>
      <c r="AD5">
        <v>0.1305</v>
      </c>
      <c r="AE5">
        <v>0.14000000000000001</v>
      </c>
      <c r="AF5">
        <v>0.13189999999999999</v>
      </c>
      <c r="AG5">
        <v>0.2097</v>
      </c>
      <c r="AH5">
        <v>0.22209999999999999</v>
      </c>
      <c r="AI5">
        <v>0.2097</v>
      </c>
      <c r="AJ5">
        <v>0.2185</v>
      </c>
      <c r="AK5">
        <v>0.2281</v>
      </c>
      <c r="AL5">
        <v>0.22320000000000001</v>
      </c>
      <c r="AM5">
        <v>0.1099</v>
      </c>
      <c r="AN5">
        <v>0.1115</v>
      </c>
      <c r="AO5">
        <v>0.1255</v>
      </c>
      <c r="AP5">
        <v>0.1216</v>
      </c>
      <c r="AQ5">
        <v>0.1198</v>
      </c>
      <c r="AR5">
        <v>0.1225</v>
      </c>
      <c r="AS5">
        <v>0.1351</v>
      </c>
      <c r="AT5">
        <v>0.13489999999999999</v>
      </c>
      <c r="AU5">
        <v>0.1444</v>
      </c>
      <c r="AV5">
        <v>0.20169999999999999</v>
      </c>
      <c r="AW5">
        <v>0.2031</v>
      </c>
      <c r="AX5">
        <v>0.21809999999999999</v>
      </c>
    </row>
    <row r="6" spans="1:50" x14ac:dyDescent="0.2">
      <c r="A6">
        <v>3</v>
      </c>
      <c r="B6">
        <v>29.8</v>
      </c>
      <c r="C6">
        <v>0.12939999999999999</v>
      </c>
      <c r="D6">
        <v>0.1313</v>
      </c>
      <c r="E6">
        <v>0.1246</v>
      </c>
      <c r="F6">
        <v>0.1118</v>
      </c>
      <c r="G6">
        <v>0.1094</v>
      </c>
      <c r="H6">
        <v>0.114</v>
      </c>
      <c r="I6">
        <v>0.21060000000000001</v>
      </c>
      <c r="J6">
        <v>0.20180000000000001</v>
      </c>
      <c r="K6">
        <v>0.19980000000000001</v>
      </c>
      <c r="L6">
        <v>0.14630000000000001</v>
      </c>
      <c r="M6">
        <v>0.15379999999999999</v>
      </c>
      <c r="N6">
        <v>0.14879999999999999</v>
      </c>
      <c r="O6">
        <v>0.12740000000000001</v>
      </c>
      <c r="P6">
        <v>0.12429999999999999</v>
      </c>
      <c r="Q6">
        <v>0.13220000000000001</v>
      </c>
      <c r="R6">
        <v>0.11990000000000001</v>
      </c>
      <c r="S6">
        <v>0.1205</v>
      </c>
      <c r="T6">
        <v>0.1133</v>
      </c>
      <c r="U6">
        <v>0.23449999999999999</v>
      </c>
      <c r="V6">
        <v>0.21690000000000001</v>
      </c>
      <c r="W6">
        <v>0.22170000000000001</v>
      </c>
      <c r="X6">
        <v>0.1633</v>
      </c>
      <c r="Y6">
        <v>0.19239999999999999</v>
      </c>
      <c r="Z6">
        <v>0.16919999999999999</v>
      </c>
      <c r="AA6">
        <v>0.1376</v>
      </c>
      <c r="AB6">
        <v>0.1283</v>
      </c>
      <c r="AC6">
        <v>0.14130000000000001</v>
      </c>
      <c r="AD6">
        <v>0.12720000000000001</v>
      </c>
      <c r="AE6">
        <v>0.14799999999999999</v>
      </c>
      <c r="AF6">
        <v>0.13239999999999999</v>
      </c>
      <c r="AG6">
        <v>0.216</v>
      </c>
      <c r="AH6">
        <v>0.23039999999999999</v>
      </c>
      <c r="AI6">
        <v>0.21990000000000001</v>
      </c>
      <c r="AJ6">
        <v>0.22739999999999999</v>
      </c>
      <c r="AK6">
        <v>0.2432</v>
      </c>
      <c r="AL6">
        <v>0.2291</v>
      </c>
      <c r="AM6">
        <v>0.11169999999999999</v>
      </c>
      <c r="AN6">
        <v>0.11119999999999999</v>
      </c>
      <c r="AO6">
        <v>0.12520000000000001</v>
      </c>
      <c r="AP6">
        <v>0.12139999999999999</v>
      </c>
      <c r="AQ6">
        <v>0.121</v>
      </c>
      <c r="AR6">
        <v>0.12429999999999999</v>
      </c>
      <c r="AS6">
        <v>0.13730000000000001</v>
      </c>
      <c r="AT6">
        <v>0.13780000000000001</v>
      </c>
      <c r="AU6">
        <v>0.1474</v>
      </c>
      <c r="AV6">
        <v>0.21179999999999999</v>
      </c>
      <c r="AW6">
        <v>0.2112</v>
      </c>
      <c r="AX6">
        <v>0.2263</v>
      </c>
    </row>
    <row r="7" spans="1:50" x14ac:dyDescent="0.2">
      <c r="A7">
        <v>4</v>
      </c>
      <c r="B7">
        <v>29.8</v>
      </c>
      <c r="C7">
        <v>0.1303</v>
      </c>
      <c r="D7">
        <v>0.13120000000000001</v>
      </c>
      <c r="E7">
        <v>0.126</v>
      </c>
      <c r="F7">
        <v>0.11210000000000001</v>
      </c>
      <c r="G7">
        <v>0.1111</v>
      </c>
      <c r="H7">
        <v>0.1147</v>
      </c>
      <c r="I7">
        <v>0.21479999999999999</v>
      </c>
      <c r="J7">
        <v>0.2077</v>
      </c>
      <c r="K7">
        <v>0.20369999999999999</v>
      </c>
      <c r="L7">
        <v>0.14710000000000001</v>
      </c>
      <c r="M7">
        <v>0.15659999999999999</v>
      </c>
      <c r="N7">
        <v>0.15079999999999999</v>
      </c>
      <c r="O7">
        <v>0.13300000000000001</v>
      </c>
      <c r="P7">
        <v>0.12670000000000001</v>
      </c>
      <c r="Q7">
        <v>0.13200000000000001</v>
      </c>
      <c r="R7">
        <v>0.11609999999999999</v>
      </c>
      <c r="S7">
        <v>0.1179</v>
      </c>
      <c r="T7">
        <v>0.1196</v>
      </c>
      <c r="U7">
        <v>0.23849999999999999</v>
      </c>
      <c r="V7">
        <v>0.22289999999999999</v>
      </c>
      <c r="W7">
        <v>0.23330000000000001</v>
      </c>
      <c r="X7">
        <v>0.16980000000000001</v>
      </c>
      <c r="Y7">
        <v>0.1986</v>
      </c>
      <c r="Z7">
        <v>0.17169999999999999</v>
      </c>
      <c r="AA7">
        <v>0.13739999999999999</v>
      </c>
      <c r="AB7">
        <v>0.1273</v>
      </c>
      <c r="AC7">
        <v>0.1414</v>
      </c>
      <c r="AD7">
        <v>0.12620000000000001</v>
      </c>
      <c r="AE7">
        <v>0.1484</v>
      </c>
      <c r="AF7">
        <v>0.1305</v>
      </c>
      <c r="AG7">
        <v>0.22159999999999999</v>
      </c>
      <c r="AH7">
        <v>0.23219999999999999</v>
      </c>
      <c r="AI7">
        <v>0.23530000000000001</v>
      </c>
      <c r="AJ7">
        <v>0.2326</v>
      </c>
      <c r="AK7">
        <v>0.253</v>
      </c>
      <c r="AL7">
        <v>0.23799999999999999</v>
      </c>
      <c r="AM7">
        <v>0.1173</v>
      </c>
      <c r="AN7">
        <v>0.1178</v>
      </c>
      <c r="AO7">
        <v>0.12670000000000001</v>
      </c>
      <c r="AP7">
        <v>0.13109999999999999</v>
      </c>
      <c r="AQ7">
        <v>0.1273</v>
      </c>
      <c r="AR7">
        <v>0.1246</v>
      </c>
      <c r="AS7">
        <v>0.1384</v>
      </c>
      <c r="AT7">
        <v>0.14069999999999999</v>
      </c>
      <c r="AU7">
        <v>0.15129999999999999</v>
      </c>
      <c r="AV7">
        <v>0.22220000000000001</v>
      </c>
      <c r="AW7">
        <v>0.2218</v>
      </c>
      <c r="AX7">
        <v>0.23449999999999999</v>
      </c>
    </row>
    <row r="8" spans="1:50" x14ac:dyDescent="0.2">
      <c r="A8">
        <v>5</v>
      </c>
      <c r="B8">
        <v>29.8</v>
      </c>
      <c r="C8">
        <v>0.13300000000000001</v>
      </c>
      <c r="D8">
        <v>0.1338</v>
      </c>
      <c r="E8">
        <v>0.13070000000000001</v>
      </c>
      <c r="F8">
        <v>0.1152</v>
      </c>
      <c r="G8">
        <v>0.1143</v>
      </c>
      <c r="H8">
        <v>0.11700000000000001</v>
      </c>
      <c r="I8">
        <v>0.21909999999999999</v>
      </c>
      <c r="J8">
        <v>0.2127</v>
      </c>
      <c r="K8">
        <v>0.2087</v>
      </c>
      <c r="L8">
        <v>0.15060000000000001</v>
      </c>
      <c r="M8">
        <v>0.1603</v>
      </c>
      <c r="N8">
        <v>0.15490000000000001</v>
      </c>
      <c r="O8">
        <v>0.13469999999999999</v>
      </c>
      <c r="P8">
        <v>0.13109999999999999</v>
      </c>
      <c r="Q8">
        <v>0.14119999999999999</v>
      </c>
      <c r="R8">
        <v>0.1135</v>
      </c>
      <c r="S8">
        <v>0.1148</v>
      </c>
      <c r="T8">
        <v>0.1149</v>
      </c>
      <c r="U8">
        <v>0.25230000000000002</v>
      </c>
      <c r="V8">
        <v>0.2397</v>
      </c>
      <c r="W8">
        <v>0.2525</v>
      </c>
      <c r="X8">
        <v>0.19139999999999999</v>
      </c>
      <c r="Y8">
        <v>0.21540000000000001</v>
      </c>
      <c r="Z8">
        <v>0.17380000000000001</v>
      </c>
      <c r="AA8">
        <v>0.1404</v>
      </c>
      <c r="AB8">
        <v>0.12889999999999999</v>
      </c>
      <c r="AC8">
        <v>0.14319999999999999</v>
      </c>
      <c r="AD8">
        <v>0.12809999999999999</v>
      </c>
      <c r="AE8">
        <v>0.15079999999999999</v>
      </c>
      <c r="AF8">
        <v>0.13150000000000001</v>
      </c>
      <c r="AG8">
        <v>0.22720000000000001</v>
      </c>
      <c r="AH8">
        <v>0.23019999999999999</v>
      </c>
      <c r="AI8">
        <v>0.24379999999999999</v>
      </c>
      <c r="AJ8">
        <v>0.23469999999999999</v>
      </c>
      <c r="AK8">
        <v>0.25509999999999999</v>
      </c>
      <c r="AL8">
        <v>0.24610000000000001</v>
      </c>
      <c r="AM8">
        <v>0.1258</v>
      </c>
      <c r="AN8">
        <v>0.11550000000000001</v>
      </c>
      <c r="AO8">
        <v>0.1216</v>
      </c>
      <c r="AP8">
        <v>0.1227</v>
      </c>
      <c r="AQ8">
        <v>0.1212</v>
      </c>
      <c r="AR8">
        <v>0.13159999999999999</v>
      </c>
      <c r="AS8">
        <v>0.1467</v>
      </c>
      <c r="AT8">
        <v>0.1512</v>
      </c>
      <c r="AU8">
        <v>0.15740000000000001</v>
      </c>
      <c r="AV8">
        <v>0.23780000000000001</v>
      </c>
      <c r="AW8">
        <v>0.2364</v>
      </c>
      <c r="AX8">
        <v>0.24079999999999999</v>
      </c>
    </row>
    <row r="10" spans="1:50" x14ac:dyDescent="0.2">
      <c r="A10" t="s">
        <v>52</v>
      </c>
    </row>
    <row r="11" spans="1:50" x14ac:dyDescent="0.2">
      <c r="A11" t="s">
        <v>53</v>
      </c>
    </row>
    <row r="12" spans="1:50" x14ac:dyDescent="0.2">
      <c r="C12" s="1">
        <f>(C4-0.06674)/0.0466</f>
        <v>1.3961373390557941</v>
      </c>
      <c r="D12" s="1">
        <f t="shared" ref="D12:T12" si="0">(D4-0.06674)/0.0466</f>
        <v>1.4412017167381972</v>
      </c>
      <c r="E12" s="1">
        <f t="shared" si="0"/>
        <v>1.3231759656652358</v>
      </c>
      <c r="F12" s="1">
        <f t="shared" si="0"/>
        <v>1.0442060085836911</v>
      </c>
      <c r="G12" s="1">
        <f t="shared" si="0"/>
        <v>0.98841201716738203</v>
      </c>
      <c r="H12" s="1">
        <f t="shared" si="0"/>
        <v>1.0656652360515022</v>
      </c>
      <c r="I12" s="1">
        <f t="shared" si="0"/>
        <v>3.0141630901287551</v>
      </c>
      <c r="J12" s="1">
        <f t="shared" si="0"/>
        <v>2.7759656652360514</v>
      </c>
      <c r="K12" s="1">
        <f t="shared" si="0"/>
        <v>2.861802575107296</v>
      </c>
      <c r="L12" s="1">
        <f t="shared" si="0"/>
        <v>1.8939914163090128</v>
      </c>
      <c r="M12" s="1">
        <f t="shared" si="0"/>
        <v>1.9969957081545064</v>
      </c>
      <c r="N12" s="1">
        <f t="shared" si="0"/>
        <v>1.863948497854077</v>
      </c>
      <c r="O12" s="1">
        <f t="shared" si="0"/>
        <v>1.3510729613733907</v>
      </c>
      <c r="P12" s="1">
        <f t="shared" si="0"/>
        <v>1.3017167381974253</v>
      </c>
      <c r="Q12" s="1">
        <f t="shared" si="0"/>
        <v>1.4304721030042917</v>
      </c>
      <c r="R12" s="1">
        <f t="shared" si="0"/>
        <v>0.97982832618025761</v>
      </c>
      <c r="S12" s="1">
        <f t="shared" si="0"/>
        <v>1.0849785407725323</v>
      </c>
      <c r="T12" s="1">
        <f t="shared" si="0"/>
        <v>1.0313304721030043</v>
      </c>
      <c r="U12" s="1">
        <f t="shared" ref="U12:AX12" si="1">(U4-0.06674)/0.0466</f>
        <v>3.2781115879828326</v>
      </c>
      <c r="V12" s="1">
        <f t="shared" si="1"/>
        <v>3.0570815450643778</v>
      </c>
      <c r="W12" s="1">
        <f t="shared" si="1"/>
        <v>2.9454935622317593</v>
      </c>
      <c r="X12" s="1">
        <f t="shared" si="1"/>
        <v>1.9326180257510728</v>
      </c>
      <c r="Y12" s="1">
        <f t="shared" si="1"/>
        <v>2.5828326180257508</v>
      </c>
      <c r="Z12" s="1">
        <f t="shared" si="1"/>
        <v>2.1643776824034333</v>
      </c>
      <c r="AA12" s="1">
        <f t="shared" si="1"/>
        <v>1.5914163090128755</v>
      </c>
      <c r="AB12" s="1">
        <f t="shared" si="1"/>
        <v>1.4283261802575109</v>
      </c>
      <c r="AC12" s="1">
        <f t="shared" si="1"/>
        <v>1.6665236051502146</v>
      </c>
      <c r="AD12" s="1">
        <f t="shared" si="1"/>
        <v>1.3896995708154509</v>
      </c>
      <c r="AE12" s="1">
        <f t="shared" si="1"/>
        <v>1.5098712446351932</v>
      </c>
      <c r="AF12" s="1">
        <f t="shared" si="1"/>
        <v>1.419742489270386</v>
      </c>
      <c r="AG12" s="1">
        <f t="shared" si="1"/>
        <v>3.0806866952789695</v>
      </c>
      <c r="AH12" s="1">
        <f t="shared" si="1"/>
        <v>3.2459227467811158</v>
      </c>
      <c r="AI12" s="1">
        <f t="shared" si="1"/>
        <v>3.1493562231759653</v>
      </c>
      <c r="AJ12" s="1">
        <f t="shared" si="1"/>
        <v>3.1965665236051501</v>
      </c>
      <c r="AK12" s="1">
        <f t="shared" si="1"/>
        <v>3.376824034334764</v>
      </c>
      <c r="AL12" s="1">
        <f t="shared" si="1"/>
        <v>3.3918454935622315</v>
      </c>
      <c r="AM12" s="1">
        <f t="shared" si="1"/>
        <v>0.92403433476394847</v>
      </c>
      <c r="AN12" s="1">
        <f t="shared" si="1"/>
        <v>0.96051502145922762</v>
      </c>
      <c r="AO12" s="1">
        <f t="shared" si="1"/>
        <v>1.267381974248927</v>
      </c>
      <c r="AP12" s="1">
        <f t="shared" si="1"/>
        <v>1.1536480686695278</v>
      </c>
      <c r="AQ12" s="1">
        <f t="shared" si="1"/>
        <v>1.1128755364806866</v>
      </c>
      <c r="AR12" s="1">
        <f t="shared" si="1"/>
        <v>1.1793991416309013</v>
      </c>
      <c r="AS12" s="1">
        <f t="shared" si="1"/>
        <v>1.4433476394849787</v>
      </c>
      <c r="AT12" s="1">
        <f t="shared" si="1"/>
        <v>1.4433476394849787</v>
      </c>
      <c r="AU12" s="1">
        <f t="shared" si="1"/>
        <v>1.6257510729613731</v>
      </c>
      <c r="AV12" s="1">
        <f t="shared" si="1"/>
        <v>2.7738197424892705</v>
      </c>
      <c r="AW12" s="1">
        <f t="shared" si="1"/>
        <v>2.8317596566523604</v>
      </c>
      <c r="AX12" s="1">
        <f t="shared" si="1"/>
        <v>3.2244635193133044</v>
      </c>
    </row>
    <row r="13" spans="1:50" x14ac:dyDescent="0.2">
      <c r="C13" s="1">
        <f t="shared" ref="C13:S13" si="2">(C5-0.06674)/0.0466</f>
        <v>1.3467811158798284</v>
      </c>
      <c r="D13" s="1">
        <f t="shared" si="2"/>
        <v>1.3939914163090132</v>
      </c>
      <c r="E13" s="1">
        <f t="shared" si="2"/>
        <v>1.2330472103004293</v>
      </c>
      <c r="F13" s="1">
        <f t="shared" si="2"/>
        <v>0.98412017167381993</v>
      </c>
      <c r="G13" s="1">
        <f t="shared" si="2"/>
        <v>0.91115879828326196</v>
      </c>
      <c r="H13" s="1">
        <f t="shared" si="2"/>
        <v>1.0098712446351932</v>
      </c>
      <c r="I13" s="1">
        <f t="shared" si="2"/>
        <v>2.9884120171673816</v>
      </c>
      <c r="J13" s="1">
        <f t="shared" si="2"/>
        <v>2.7609442060085834</v>
      </c>
      <c r="K13" s="1">
        <f t="shared" si="2"/>
        <v>2.7888412017167385</v>
      </c>
      <c r="L13" s="1">
        <f t="shared" si="2"/>
        <v>1.7351931330472106</v>
      </c>
      <c r="M13" s="1">
        <f t="shared" si="2"/>
        <v>1.8446351931330474</v>
      </c>
      <c r="N13" s="1">
        <f t="shared" si="2"/>
        <v>1.7502145922746779</v>
      </c>
      <c r="O13" s="1">
        <f t="shared" si="2"/>
        <v>1.3188841201716741</v>
      </c>
      <c r="P13" s="1">
        <f t="shared" si="2"/>
        <v>1.2759656652360518</v>
      </c>
      <c r="Q13" s="1">
        <f t="shared" si="2"/>
        <v>1.4090128755364806</v>
      </c>
      <c r="R13" s="1">
        <f t="shared" si="2"/>
        <v>1.027038626609442</v>
      </c>
      <c r="S13" s="1">
        <f t="shared" si="2"/>
        <v>1.095708154506438</v>
      </c>
      <c r="T13" s="1">
        <f t="shared" ref="T13:AX13" si="3">(T5-0.06674)/0.0466</f>
        <v>1.0141630901287555</v>
      </c>
      <c r="U13" s="1">
        <f t="shared" si="3"/>
        <v>3.458369098712446</v>
      </c>
      <c r="V13" s="1">
        <f t="shared" si="3"/>
        <v>3.1386266094420598</v>
      </c>
      <c r="W13" s="1">
        <f t="shared" si="3"/>
        <v>3.0935622317596567</v>
      </c>
      <c r="X13" s="1">
        <f t="shared" si="3"/>
        <v>1.9776824034334768</v>
      </c>
      <c r="Y13" s="1">
        <f t="shared" si="3"/>
        <v>2.6085836909871243</v>
      </c>
      <c r="Z13" s="1">
        <f t="shared" si="3"/>
        <v>2.1643776824034333</v>
      </c>
      <c r="AA13" s="1">
        <f t="shared" si="3"/>
        <v>1.5742489270386266</v>
      </c>
      <c r="AB13" s="1">
        <f t="shared" si="3"/>
        <v>1.3746781115879829</v>
      </c>
      <c r="AC13" s="1">
        <f t="shared" si="3"/>
        <v>1.5914163090128755</v>
      </c>
      <c r="AD13" s="1">
        <f t="shared" si="3"/>
        <v>1.3682403433476396</v>
      </c>
      <c r="AE13" s="1">
        <f t="shared" si="3"/>
        <v>1.5721030042918458</v>
      </c>
      <c r="AF13" s="1">
        <f t="shared" si="3"/>
        <v>1.3982832618025749</v>
      </c>
      <c r="AG13" s="1">
        <f t="shared" si="3"/>
        <v>3.0678111587982833</v>
      </c>
      <c r="AH13" s="1">
        <f t="shared" si="3"/>
        <v>3.3339055793991412</v>
      </c>
      <c r="AI13" s="1">
        <f t="shared" si="3"/>
        <v>3.0678111587982833</v>
      </c>
      <c r="AJ13" s="1">
        <f t="shared" si="3"/>
        <v>3.2566523605150213</v>
      </c>
      <c r="AK13" s="1">
        <f t="shared" si="3"/>
        <v>3.4626609442060086</v>
      </c>
      <c r="AL13" s="1">
        <f t="shared" si="3"/>
        <v>3.3575107296137339</v>
      </c>
      <c r="AM13" s="1">
        <f t="shared" si="3"/>
        <v>0.92618025751072963</v>
      </c>
      <c r="AN13" s="1">
        <f t="shared" si="3"/>
        <v>0.96051502145922762</v>
      </c>
      <c r="AO13" s="1">
        <f t="shared" si="3"/>
        <v>1.2609442060085838</v>
      </c>
      <c r="AP13" s="1">
        <f t="shared" si="3"/>
        <v>1.1772532188841203</v>
      </c>
      <c r="AQ13" s="1">
        <f t="shared" si="3"/>
        <v>1.1386266094420603</v>
      </c>
      <c r="AR13" s="1">
        <f t="shared" si="3"/>
        <v>1.1965665236051501</v>
      </c>
      <c r="AS13" s="1">
        <f t="shared" si="3"/>
        <v>1.4669527896995709</v>
      </c>
      <c r="AT13" s="1">
        <f t="shared" si="3"/>
        <v>1.4626609442060086</v>
      </c>
      <c r="AU13" s="1">
        <f t="shared" si="3"/>
        <v>1.6665236051502146</v>
      </c>
      <c r="AV13" s="1">
        <f t="shared" si="3"/>
        <v>2.8961373390557936</v>
      </c>
      <c r="AW13" s="1">
        <f t="shared" si="3"/>
        <v>2.9261802575107296</v>
      </c>
      <c r="AX13" s="1">
        <f t="shared" si="3"/>
        <v>3.2480686695278966</v>
      </c>
    </row>
    <row r="14" spans="1:50" x14ac:dyDescent="0.2">
      <c r="C14" s="1">
        <f t="shared" ref="C14:S14" si="4">(C6-0.06674)/0.0466</f>
        <v>1.3446351931330469</v>
      </c>
      <c r="D14" s="1">
        <f t="shared" si="4"/>
        <v>1.3854077253218884</v>
      </c>
      <c r="E14" s="1">
        <f t="shared" si="4"/>
        <v>1.2416309012875537</v>
      </c>
      <c r="F14" s="1">
        <f t="shared" si="4"/>
        <v>0.96695278969957077</v>
      </c>
      <c r="G14" s="1">
        <f t="shared" si="4"/>
        <v>0.91545064377682406</v>
      </c>
      <c r="H14" s="1">
        <f t="shared" si="4"/>
        <v>1.0141630901287555</v>
      </c>
      <c r="I14" s="1">
        <f t="shared" si="4"/>
        <v>3.0871244635193134</v>
      </c>
      <c r="J14" s="1">
        <f t="shared" si="4"/>
        <v>2.8982832618025753</v>
      </c>
      <c r="K14" s="1">
        <f t="shared" si="4"/>
        <v>2.855364806866953</v>
      </c>
      <c r="L14" s="1">
        <f t="shared" si="4"/>
        <v>1.7072961373390561</v>
      </c>
      <c r="M14" s="1">
        <f t="shared" si="4"/>
        <v>1.8682403433476393</v>
      </c>
      <c r="N14" s="1">
        <f t="shared" si="4"/>
        <v>1.7609442060085834</v>
      </c>
      <c r="O14" s="1">
        <f t="shared" si="4"/>
        <v>1.3017167381974253</v>
      </c>
      <c r="P14" s="1">
        <f t="shared" si="4"/>
        <v>1.2351931330472103</v>
      </c>
      <c r="Q14" s="1">
        <f t="shared" si="4"/>
        <v>1.4047210300429187</v>
      </c>
      <c r="R14" s="1">
        <f t="shared" si="4"/>
        <v>1.1407725321888413</v>
      </c>
      <c r="S14" s="1">
        <f t="shared" si="4"/>
        <v>1.1536480686695278</v>
      </c>
      <c r="T14" s="1">
        <f t="shared" ref="T14:AX14" si="5">(T6-0.06674)/0.0466</f>
        <v>0.9991416309012876</v>
      </c>
      <c r="U14" s="1">
        <f t="shared" si="5"/>
        <v>3.5999999999999996</v>
      </c>
      <c r="V14" s="1">
        <f t="shared" si="5"/>
        <v>3.2223175965665236</v>
      </c>
      <c r="W14" s="1">
        <f t="shared" si="5"/>
        <v>3.3253218884120175</v>
      </c>
      <c r="X14" s="1">
        <f t="shared" si="5"/>
        <v>2.0721030042918454</v>
      </c>
      <c r="Y14" s="1">
        <f t="shared" si="5"/>
        <v>2.6965665236051501</v>
      </c>
      <c r="Z14" s="1">
        <f t="shared" si="5"/>
        <v>2.198712446351931</v>
      </c>
      <c r="AA14" s="1">
        <f t="shared" si="5"/>
        <v>1.5206008583690989</v>
      </c>
      <c r="AB14" s="1">
        <f t="shared" si="5"/>
        <v>1.3210300429184549</v>
      </c>
      <c r="AC14" s="1">
        <f t="shared" si="5"/>
        <v>1.6000000000000003</v>
      </c>
      <c r="AD14" s="1">
        <f t="shared" si="5"/>
        <v>1.297424892703863</v>
      </c>
      <c r="AE14" s="1">
        <f t="shared" si="5"/>
        <v>1.7437768240343345</v>
      </c>
      <c r="AF14" s="1">
        <f t="shared" si="5"/>
        <v>1.4090128755364806</v>
      </c>
      <c r="AG14" s="1">
        <f t="shared" si="5"/>
        <v>3.2030042918454935</v>
      </c>
      <c r="AH14" s="1">
        <f t="shared" si="5"/>
        <v>3.5120171673819742</v>
      </c>
      <c r="AI14" s="1">
        <f t="shared" si="5"/>
        <v>3.2866952789699573</v>
      </c>
      <c r="AJ14" s="1">
        <f t="shared" si="5"/>
        <v>3.4476394849785406</v>
      </c>
      <c r="AK14" s="1">
        <f t="shared" si="5"/>
        <v>3.7866952789699568</v>
      </c>
      <c r="AL14" s="1">
        <f t="shared" si="5"/>
        <v>3.4841201716738195</v>
      </c>
      <c r="AM14" s="1">
        <f t="shared" si="5"/>
        <v>0.96480686695278961</v>
      </c>
      <c r="AN14" s="1">
        <f t="shared" si="5"/>
        <v>0.95407725321888404</v>
      </c>
      <c r="AO14" s="1">
        <f t="shared" si="5"/>
        <v>1.2545064377682404</v>
      </c>
      <c r="AP14" s="1">
        <f t="shared" si="5"/>
        <v>1.1729613733905579</v>
      </c>
      <c r="AQ14" s="1">
        <f t="shared" si="5"/>
        <v>1.1643776824034335</v>
      </c>
      <c r="AR14" s="1">
        <f t="shared" si="5"/>
        <v>1.2351931330472103</v>
      </c>
      <c r="AS14" s="1">
        <f t="shared" si="5"/>
        <v>1.5141630901287555</v>
      </c>
      <c r="AT14" s="1">
        <f t="shared" si="5"/>
        <v>1.5248927038626612</v>
      </c>
      <c r="AU14" s="1">
        <f t="shared" si="5"/>
        <v>1.7309012875536482</v>
      </c>
      <c r="AV14" s="1">
        <f t="shared" si="5"/>
        <v>3.1128755364806864</v>
      </c>
      <c r="AW14" s="1">
        <f t="shared" si="5"/>
        <v>3.1</v>
      </c>
      <c r="AX14" s="1">
        <f t="shared" si="5"/>
        <v>3.4240343347639484</v>
      </c>
    </row>
    <row r="15" spans="1:50" x14ac:dyDescent="0.2">
      <c r="C15" s="1">
        <f t="shared" ref="C15:S15" si="6">(C7-0.06674)/0.0466</f>
        <v>1.3639484978540772</v>
      </c>
      <c r="D15" s="1">
        <f t="shared" si="6"/>
        <v>1.3832618025751076</v>
      </c>
      <c r="E15" s="1">
        <f t="shared" si="6"/>
        <v>1.2716738197424893</v>
      </c>
      <c r="F15" s="1">
        <f t="shared" si="6"/>
        <v>0.97339055793991436</v>
      </c>
      <c r="G15" s="1">
        <f t="shared" si="6"/>
        <v>0.95193133047210321</v>
      </c>
      <c r="H15" s="1">
        <f t="shared" si="6"/>
        <v>1.0291845493562233</v>
      </c>
      <c r="I15" s="1">
        <f t="shared" si="6"/>
        <v>3.17725321888412</v>
      </c>
      <c r="J15" s="1">
        <f t="shared" si="6"/>
        <v>3.024892703862661</v>
      </c>
      <c r="K15" s="1">
        <f t="shared" si="6"/>
        <v>2.9390557939914159</v>
      </c>
      <c r="L15" s="1">
        <f t="shared" si="6"/>
        <v>1.7244635193133049</v>
      </c>
      <c r="M15" s="1">
        <f t="shared" si="6"/>
        <v>1.9283261802575105</v>
      </c>
      <c r="N15" s="1">
        <f t="shared" si="6"/>
        <v>1.8038626609442059</v>
      </c>
      <c r="O15" s="1">
        <f t="shared" si="6"/>
        <v>1.4218884120171675</v>
      </c>
      <c r="P15" s="1">
        <f t="shared" si="6"/>
        <v>1.2866952789699573</v>
      </c>
      <c r="Q15" s="1">
        <f t="shared" si="6"/>
        <v>1.4004291845493564</v>
      </c>
      <c r="R15" s="1">
        <f t="shared" si="6"/>
        <v>1.0592274678111588</v>
      </c>
      <c r="S15" s="1">
        <f t="shared" si="6"/>
        <v>1.097854077253219</v>
      </c>
      <c r="T15" s="1">
        <f t="shared" ref="T15:AX15" si="7">(T7-0.06674)/0.0466</f>
        <v>1.134334763948498</v>
      </c>
      <c r="U15" s="1">
        <f t="shared" si="7"/>
        <v>3.6858369098712442</v>
      </c>
      <c r="V15" s="1">
        <f t="shared" si="7"/>
        <v>3.3510729613733901</v>
      </c>
      <c r="W15" s="1">
        <f t="shared" si="7"/>
        <v>3.5742489270386266</v>
      </c>
      <c r="X15" s="1">
        <f t="shared" si="7"/>
        <v>2.2115879828326181</v>
      </c>
      <c r="Y15" s="1">
        <f t="shared" si="7"/>
        <v>2.8296137339055791</v>
      </c>
      <c r="Z15" s="1">
        <f t="shared" si="7"/>
        <v>2.2523605150214592</v>
      </c>
      <c r="AA15" s="1">
        <f t="shared" si="7"/>
        <v>1.5163090128755363</v>
      </c>
      <c r="AB15" s="1">
        <f t="shared" si="7"/>
        <v>1.2995708154506438</v>
      </c>
      <c r="AC15" s="1">
        <f t="shared" si="7"/>
        <v>1.6021459227467811</v>
      </c>
      <c r="AD15" s="1">
        <f t="shared" si="7"/>
        <v>1.2759656652360518</v>
      </c>
      <c r="AE15" s="1">
        <f t="shared" si="7"/>
        <v>1.7523605150214594</v>
      </c>
      <c r="AF15" s="1">
        <f t="shared" si="7"/>
        <v>1.3682403433476396</v>
      </c>
      <c r="AG15" s="1">
        <f t="shared" si="7"/>
        <v>3.3231759656652358</v>
      </c>
      <c r="AH15" s="1">
        <f t="shared" si="7"/>
        <v>3.550643776824034</v>
      </c>
      <c r="AI15" s="1">
        <f t="shared" si="7"/>
        <v>3.6171673819742489</v>
      </c>
      <c r="AJ15" s="1">
        <f t="shared" si="7"/>
        <v>3.5592274678111586</v>
      </c>
      <c r="AK15" s="1">
        <f t="shared" si="7"/>
        <v>3.9969957081545062</v>
      </c>
      <c r="AL15" s="1">
        <f t="shared" si="7"/>
        <v>3.6751072961373388</v>
      </c>
      <c r="AM15" s="1">
        <f t="shared" si="7"/>
        <v>1.0849785407725323</v>
      </c>
      <c r="AN15" s="1">
        <f t="shared" si="7"/>
        <v>1.095708154506438</v>
      </c>
      <c r="AO15" s="1">
        <f t="shared" si="7"/>
        <v>1.2866952789699573</v>
      </c>
      <c r="AP15" s="1">
        <f t="shared" si="7"/>
        <v>1.3811158798283261</v>
      </c>
      <c r="AQ15" s="1">
        <f t="shared" si="7"/>
        <v>1.2995708154506438</v>
      </c>
      <c r="AR15" s="1">
        <f t="shared" si="7"/>
        <v>1.2416309012875537</v>
      </c>
      <c r="AS15" s="1">
        <f t="shared" si="7"/>
        <v>1.5377682403433477</v>
      </c>
      <c r="AT15" s="1">
        <f t="shared" si="7"/>
        <v>1.5871244635193131</v>
      </c>
      <c r="AU15" s="1">
        <f t="shared" si="7"/>
        <v>1.8145922746781113</v>
      </c>
      <c r="AV15" s="1">
        <f t="shared" si="7"/>
        <v>3.3360515021459229</v>
      </c>
      <c r="AW15" s="1">
        <f t="shared" si="7"/>
        <v>3.3274678111587983</v>
      </c>
      <c r="AX15" s="1">
        <f t="shared" si="7"/>
        <v>3.5999999999999996</v>
      </c>
    </row>
    <row r="16" spans="1:50" x14ac:dyDescent="0.2">
      <c r="C16" s="1">
        <f t="shared" ref="C16:S16" si="8">(C8-0.06674)/0.0466</f>
        <v>1.4218884120171675</v>
      </c>
      <c r="D16" s="1">
        <f t="shared" si="8"/>
        <v>1.4390557939914164</v>
      </c>
      <c r="E16" s="1">
        <f t="shared" si="8"/>
        <v>1.3725321888412021</v>
      </c>
      <c r="F16" s="1">
        <f t="shared" si="8"/>
        <v>1.0399141630901287</v>
      </c>
      <c r="G16" s="1">
        <f t="shared" si="8"/>
        <v>1.0206008583690989</v>
      </c>
      <c r="H16" s="1">
        <f t="shared" si="8"/>
        <v>1.0785407725321892</v>
      </c>
      <c r="I16" s="1">
        <f t="shared" si="8"/>
        <v>3.269527896995708</v>
      </c>
      <c r="J16" s="1">
        <f t="shared" si="8"/>
        <v>3.1321888412017169</v>
      </c>
      <c r="K16" s="1">
        <f t="shared" si="8"/>
        <v>3.0463519313304719</v>
      </c>
      <c r="L16" s="1">
        <f t="shared" si="8"/>
        <v>1.799570815450644</v>
      </c>
      <c r="M16" s="1">
        <f t="shared" si="8"/>
        <v>2.0077253218884121</v>
      </c>
      <c r="N16" s="1">
        <f t="shared" si="8"/>
        <v>1.891845493562232</v>
      </c>
      <c r="O16" s="1">
        <f t="shared" si="8"/>
        <v>1.458369098712446</v>
      </c>
      <c r="P16" s="1">
        <f t="shared" si="8"/>
        <v>1.3811158798283261</v>
      </c>
      <c r="Q16" s="1">
        <f t="shared" si="8"/>
        <v>1.5978540772532188</v>
      </c>
      <c r="R16" s="1">
        <f t="shared" si="8"/>
        <v>1.00343347639485</v>
      </c>
      <c r="S16" s="1">
        <f t="shared" si="8"/>
        <v>1.0313304721030043</v>
      </c>
      <c r="T16" s="1">
        <f t="shared" ref="T16:AX16" si="9">(T8-0.06674)/0.0466</f>
        <v>1.0334763948497856</v>
      </c>
      <c r="U16" s="1">
        <f t="shared" si="9"/>
        <v>3.9819742489270391</v>
      </c>
      <c r="V16" s="1">
        <f t="shared" si="9"/>
        <v>3.7115879828326177</v>
      </c>
      <c r="W16" s="1">
        <f t="shared" si="9"/>
        <v>3.9862660944206008</v>
      </c>
      <c r="X16" s="1">
        <f t="shared" si="9"/>
        <v>2.6751072961373388</v>
      </c>
      <c r="Y16" s="1">
        <f t="shared" si="9"/>
        <v>3.1901287553648072</v>
      </c>
      <c r="Z16" s="1">
        <f t="shared" si="9"/>
        <v>2.2974248927038627</v>
      </c>
      <c r="AA16" s="1">
        <f t="shared" si="9"/>
        <v>1.58068669527897</v>
      </c>
      <c r="AB16" s="1">
        <f t="shared" si="9"/>
        <v>1.3339055793991415</v>
      </c>
      <c r="AC16" s="1">
        <f t="shared" si="9"/>
        <v>1.6407725321888411</v>
      </c>
      <c r="AD16" s="1">
        <f t="shared" si="9"/>
        <v>1.3167381974248926</v>
      </c>
      <c r="AE16" s="1">
        <f t="shared" si="9"/>
        <v>1.8038626609442059</v>
      </c>
      <c r="AF16" s="1">
        <f t="shared" si="9"/>
        <v>1.3896995708154509</v>
      </c>
      <c r="AG16" s="1">
        <f t="shared" si="9"/>
        <v>3.4433476394849789</v>
      </c>
      <c r="AH16" s="1">
        <f t="shared" si="9"/>
        <v>3.5077253218884117</v>
      </c>
      <c r="AI16" s="1">
        <f t="shared" si="9"/>
        <v>3.7995708154506436</v>
      </c>
      <c r="AJ16" s="1">
        <f t="shared" si="9"/>
        <v>3.6042918454935622</v>
      </c>
      <c r="AK16" s="1">
        <f t="shared" si="9"/>
        <v>4.0420600858369093</v>
      </c>
      <c r="AL16" s="1">
        <f t="shared" si="9"/>
        <v>3.8489270386266097</v>
      </c>
      <c r="AM16" s="1">
        <f t="shared" si="9"/>
        <v>1.267381974248927</v>
      </c>
      <c r="AN16" s="1">
        <f t="shared" si="9"/>
        <v>1.0463519313304723</v>
      </c>
      <c r="AO16" s="1">
        <f t="shared" si="9"/>
        <v>1.1772532188841203</v>
      </c>
      <c r="AP16" s="1">
        <f t="shared" si="9"/>
        <v>1.2008583690987127</v>
      </c>
      <c r="AQ16" s="1">
        <f t="shared" si="9"/>
        <v>1.1686695278969959</v>
      </c>
      <c r="AR16" s="1">
        <f t="shared" si="9"/>
        <v>1.3918454935622318</v>
      </c>
      <c r="AS16" s="1">
        <f t="shared" si="9"/>
        <v>1.7158798283261802</v>
      </c>
      <c r="AT16" s="1">
        <f t="shared" si="9"/>
        <v>1.8124463519313305</v>
      </c>
      <c r="AU16" s="1">
        <f t="shared" si="9"/>
        <v>1.94549356223176</v>
      </c>
      <c r="AV16" s="1">
        <f t="shared" si="9"/>
        <v>3.6708154506437771</v>
      </c>
      <c r="AW16" s="1">
        <f t="shared" si="9"/>
        <v>3.6407725321888411</v>
      </c>
      <c r="AX16" s="1">
        <f t="shared" si="9"/>
        <v>3.7351931330472099</v>
      </c>
    </row>
    <row r="17" spans="2:50" x14ac:dyDescent="0.2">
      <c r="B17" t="s">
        <v>54</v>
      </c>
    </row>
    <row r="18" spans="2:50" x14ac:dyDescent="0.2">
      <c r="C18" s="1">
        <f>AVERAGE(C12:C16)</f>
        <v>1.3746781115879831</v>
      </c>
      <c r="D18" s="1">
        <f t="shared" ref="D18:AX18" si="10">AVERAGE(D12:D16)</f>
        <v>1.4085836909871245</v>
      </c>
      <c r="E18" s="1">
        <f t="shared" si="10"/>
        <v>1.2884120171673821</v>
      </c>
      <c r="F18" s="1">
        <f t="shared" si="10"/>
        <v>1.001716738197425</v>
      </c>
      <c r="G18" s="1">
        <f t="shared" si="10"/>
        <v>0.95751072961373396</v>
      </c>
      <c r="H18" s="1">
        <f t="shared" si="10"/>
        <v>1.0394849785407725</v>
      </c>
      <c r="I18" s="1">
        <f t="shared" si="10"/>
        <v>3.1072961373390555</v>
      </c>
      <c r="J18" s="1">
        <f t="shared" si="10"/>
        <v>2.9184549356223179</v>
      </c>
      <c r="K18" s="1">
        <f t="shared" si="10"/>
        <v>2.8982832618025753</v>
      </c>
      <c r="L18" s="1">
        <f t="shared" si="10"/>
        <v>1.7721030042918458</v>
      </c>
      <c r="M18" s="1">
        <f t="shared" si="10"/>
        <v>1.9291845493562232</v>
      </c>
      <c r="N18" s="1">
        <f t="shared" si="10"/>
        <v>1.8141630901287553</v>
      </c>
      <c r="O18" s="1">
        <f t="shared" si="10"/>
        <v>1.3703862660944206</v>
      </c>
      <c r="P18" s="1">
        <f t="shared" si="10"/>
        <v>1.2961373390557942</v>
      </c>
      <c r="Q18" s="1">
        <f t="shared" si="10"/>
        <v>1.4484978540772533</v>
      </c>
      <c r="R18" s="1">
        <f t="shared" si="10"/>
        <v>1.0420600858369098</v>
      </c>
      <c r="S18" s="1">
        <f t="shared" si="10"/>
        <v>1.0927038626609442</v>
      </c>
      <c r="T18" s="1">
        <f t="shared" si="10"/>
        <v>1.042489270386266</v>
      </c>
      <c r="U18" s="1">
        <f t="shared" si="10"/>
        <v>3.6008583690987122</v>
      </c>
      <c r="V18" s="1">
        <f t="shared" si="10"/>
        <v>3.296137339055794</v>
      </c>
      <c r="W18" s="1">
        <f t="shared" si="10"/>
        <v>3.3849785407725319</v>
      </c>
      <c r="X18" s="1">
        <f t="shared" si="10"/>
        <v>2.1738197424892705</v>
      </c>
      <c r="Y18" s="1">
        <f t="shared" si="10"/>
        <v>2.7815450643776822</v>
      </c>
      <c r="Z18" s="1">
        <f t="shared" si="10"/>
        <v>2.2154506437768235</v>
      </c>
      <c r="AA18" s="1">
        <f t="shared" si="10"/>
        <v>1.5566523605150215</v>
      </c>
      <c r="AB18" s="1">
        <f t="shared" si="10"/>
        <v>1.351502145922747</v>
      </c>
      <c r="AC18" s="1">
        <f t="shared" si="10"/>
        <v>1.6201716738197427</v>
      </c>
      <c r="AD18" s="1">
        <f t="shared" si="10"/>
        <v>1.3296137339055796</v>
      </c>
      <c r="AE18" s="1">
        <f t="shared" si="10"/>
        <v>1.6763948497854078</v>
      </c>
      <c r="AF18" s="1">
        <f t="shared" si="10"/>
        <v>1.3969957081545064</v>
      </c>
      <c r="AG18" s="1">
        <f t="shared" si="10"/>
        <v>3.2236051502145919</v>
      </c>
      <c r="AH18" s="1">
        <f t="shared" si="10"/>
        <v>3.4300429184549359</v>
      </c>
      <c r="AI18" s="1">
        <f t="shared" si="10"/>
        <v>3.3841201716738198</v>
      </c>
      <c r="AJ18" s="1">
        <f t="shared" si="10"/>
        <v>3.4128755364806862</v>
      </c>
      <c r="AK18" s="1">
        <f t="shared" si="10"/>
        <v>3.7330472103004291</v>
      </c>
      <c r="AL18" s="1">
        <f t="shared" si="10"/>
        <v>3.5515021459227469</v>
      </c>
      <c r="AM18" s="1">
        <f t="shared" si="10"/>
        <v>1.0334763948497854</v>
      </c>
      <c r="AN18" s="1">
        <f t="shared" si="10"/>
        <v>1.00343347639485</v>
      </c>
      <c r="AO18" s="1">
        <f t="shared" si="10"/>
        <v>1.2493562231759658</v>
      </c>
      <c r="AP18" s="1">
        <f t="shared" si="10"/>
        <v>1.217167381974249</v>
      </c>
      <c r="AQ18" s="1">
        <f t="shared" si="10"/>
        <v>1.176824034334764</v>
      </c>
      <c r="AR18" s="1">
        <f t="shared" si="10"/>
        <v>1.2489270386266094</v>
      </c>
      <c r="AS18" s="1">
        <f t="shared" si="10"/>
        <v>1.5356223175965664</v>
      </c>
      <c r="AT18" s="1">
        <f t="shared" si="10"/>
        <v>1.5660944206008582</v>
      </c>
      <c r="AU18" s="1">
        <f t="shared" si="10"/>
        <v>1.7566523605150217</v>
      </c>
      <c r="AV18" s="1">
        <f t="shared" si="10"/>
        <v>3.1579399141630899</v>
      </c>
      <c r="AW18" s="1">
        <f t="shared" si="10"/>
        <v>3.1652360515021458</v>
      </c>
      <c r="AX18" s="1">
        <f t="shared" si="10"/>
        <v>3.4463519313304722</v>
      </c>
    </row>
    <row r="19" spans="2:50" x14ac:dyDescent="0.2">
      <c r="B19" t="s">
        <v>55</v>
      </c>
    </row>
    <row r="20" spans="2:50" x14ac:dyDescent="0.2">
      <c r="B20" t="s">
        <v>59</v>
      </c>
      <c r="C20" s="1">
        <f>AVERAGE(C12:C16)</f>
        <v>1.3746781115879831</v>
      </c>
      <c r="D20" s="1">
        <f t="shared" ref="D20:N20" si="11">AVERAGE(D12:D16)</f>
        <v>1.4085836909871245</v>
      </c>
      <c r="E20" s="1">
        <f t="shared" si="11"/>
        <v>1.2884120171673821</v>
      </c>
      <c r="F20" s="1">
        <f t="shared" si="11"/>
        <v>1.001716738197425</v>
      </c>
      <c r="G20" s="1">
        <f t="shared" si="11"/>
        <v>0.95751072961373396</v>
      </c>
      <c r="H20" s="1">
        <f t="shared" si="11"/>
        <v>1.0394849785407725</v>
      </c>
      <c r="I20" s="1">
        <f t="shared" si="11"/>
        <v>3.1072961373390555</v>
      </c>
      <c r="J20" s="1">
        <f t="shared" si="11"/>
        <v>2.9184549356223179</v>
      </c>
      <c r="K20" s="1">
        <f t="shared" si="11"/>
        <v>2.8982832618025753</v>
      </c>
      <c r="L20" s="1">
        <f t="shared" si="11"/>
        <v>1.7721030042918458</v>
      </c>
      <c r="M20" s="1">
        <f t="shared" si="11"/>
        <v>1.9291845493562232</v>
      </c>
      <c r="N20" s="1">
        <f t="shared" si="11"/>
        <v>1.8141630901287553</v>
      </c>
    </row>
    <row r="21" spans="2:50" x14ac:dyDescent="0.2">
      <c r="B21" t="s">
        <v>60</v>
      </c>
      <c r="C21" s="1">
        <f>AVERAGE(O12:O16)</f>
        <v>1.3703862660944206</v>
      </c>
      <c r="D21" s="1">
        <f t="shared" ref="D21:N21" si="12">AVERAGE(P12:P16)</f>
        <v>1.2961373390557942</v>
      </c>
      <c r="E21" s="1">
        <f t="shared" si="12"/>
        <v>1.4484978540772533</v>
      </c>
      <c r="F21" s="1">
        <f t="shared" si="12"/>
        <v>1.0420600858369098</v>
      </c>
      <c r="G21" s="1">
        <f t="shared" si="12"/>
        <v>1.0927038626609442</v>
      </c>
      <c r="H21" s="1">
        <f t="shared" si="12"/>
        <v>1.042489270386266</v>
      </c>
      <c r="I21" s="1">
        <f t="shared" si="12"/>
        <v>3.6008583690987122</v>
      </c>
      <c r="J21" s="1">
        <f t="shared" si="12"/>
        <v>3.296137339055794</v>
      </c>
      <c r="K21" s="1">
        <f t="shared" si="12"/>
        <v>3.3849785407725319</v>
      </c>
      <c r="L21" s="1">
        <f t="shared" si="12"/>
        <v>2.1738197424892705</v>
      </c>
      <c r="M21" s="1">
        <f t="shared" si="12"/>
        <v>2.7815450643776822</v>
      </c>
      <c r="N21" s="1">
        <f t="shared" si="12"/>
        <v>2.2154506437768235</v>
      </c>
    </row>
    <row r="22" spans="2:50" x14ac:dyDescent="0.2">
      <c r="B22" t="s">
        <v>61</v>
      </c>
      <c r="C22" s="1">
        <f>AVERAGE(AA12:AA16)</f>
        <v>1.5566523605150215</v>
      </c>
      <c r="D22" s="1">
        <f t="shared" ref="D22:N22" si="13">AVERAGE(AB12:AB16)</f>
        <v>1.351502145922747</v>
      </c>
      <c r="E22" s="1">
        <f t="shared" si="13"/>
        <v>1.6201716738197427</v>
      </c>
      <c r="F22" s="1">
        <f t="shared" si="13"/>
        <v>1.3296137339055796</v>
      </c>
      <c r="G22" s="1">
        <f t="shared" si="13"/>
        <v>1.6763948497854078</v>
      </c>
      <c r="H22" s="1">
        <f t="shared" si="13"/>
        <v>1.3969957081545064</v>
      </c>
      <c r="I22" s="1">
        <f t="shared" si="13"/>
        <v>3.2236051502145919</v>
      </c>
      <c r="J22" s="1">
        <f t="shared" si="13"/>
        <v>3.4300429184549359</v>
      </c>
      <c r="K22" s="1">
        <f t="shared" si="13"/>
        <v>3.3841201716738198</v>
      </c>
      <c r="L22" s="1">
        <f t="shared" si="13"/>
        <v>3.4128755364806862</v>
      </c>
      <c r="M22" s="1">
        <f t="shared" si="13"/>
        <v>3.7330472103004291</v>
      </c>
      <c r="N22" s="1">
        <f t="shared" si="13"/>
        <v>3.5515021459227469</v>
      </c>
    </row>
    <row r="23" spans="2:50" x14ac:dyDescent="0.2">
      <c r="B23" t="s">
        <v>58</v>
      </c>
      <c r="C23" s="1">
        <f>AVERAGE(AM12:AM16)</f>
        <v>1.0334763948497854</v>
      </c>
      <c r="D23" s="1">
        <f t="shared" ref="D23:N23" si="14">AVERAGE(AN12:AN16)</f>
        <v>1.00343347639485</v>
      </c>
      <c r="E23" s="1">
        <f t="shared" si="14"/>
        <v>1.2493562231759658</v>
      </c>
      <c r="F23" s="1">
        <f t="shared" si="14"/>
        <v>1.217167381974249</v>
      </c>
      <c r="G23" s="1">
        <f t="shared" si="14"/>
        <v>1.176824034334764</v>
      </c>
      <c r="H23" s="1">
        <f t="shared" si="14"/>
        <v>1.2489270386266094</v>
      </c>
      <c r="I23" s="1">
        <f t="shared" si="14"/>
        <v>1.5356223175965664</v>
      </c>
      <c r="J23" s="1">
        <f t="shared" si="14"/>
        <v>1.5660944206008582</v>
      </c>
      <c r="K23" s="1">
        <f t="shared" si="14"/>
        <v>1.7566523605150217</v>
      </c>
      <c r="L23" s="1">
        <f t="shared" si="14"/>
        <v>3.1579399141630899</v>
      </c>
      <c r="M23" s="1">
        <f t="shared" si="14"/>
        <v>3.1652360515021458</v>
      </c>
      <c r="N23" s="1">
        <f t="shared" si="14"/>
        <v>3.4463519313304722</v>
      </c>
    </row>
    <row r="24" spans="2:50" x14ac:dyDescent="0.2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</row>
    <row r="25" spans="2:50" x14ac:dyDescent="0.2">
      <c r="C25" s="1" t="s">
        <v>56</v>
      </c>
      <c r="D25" s="1"/>
      <c r="E25" s="1"/>
      <c r="F25" s="1"/>
      <c r="G25" s="1"/>
      <c r="H25" s="1"/>
      <c r="I25" s="1" t="s">
        <v>57</v>
      </c>
      <c r="J25" s="1"/>
      <c r="K25" s="1"/>
      <c r="L25" s="1"/>
    </row>
    <row r="28" spans="2:50" x14ac:dyDescent="0.2">
      <c r="B28" t="s">
        <v>62</v>
      </c>
    </row>
    <row r="29" spans="2:50" x14ac:dyDescent="0.2">
      <c r="B29">
        <v>1</v>
      </c>
      <c r="C29" s="1">
        <f>AVERAGE(C20:E20)</f>
        <v>1.3572246065808298</v>
      </c>
      <c r="D29" s="1">
        <f>AVERAGE(I20:K20)</f>
        <v>2.9746781115879828</v>
      </c>
      <c r="E29" s="1"/>
      <c r="F29" s="1"/>
      <c r="G29" s="1"/>
      <c r="H29" s="1"/>
      <c r="I29" s="1"/>
      <c r="J29" s="1"/>
    </row>
    <row r="30" spans="2:50" x14ac:dyDescent="0.2">
      <c r="B30">
        <v>2</v>
      </c>
      <c r="C30" s="1">
        <f t="shared" ref="C30:C32" si="15">AVERAGE(C21:E21)</f>
        <v>1.3716738197424894</v>
      </c>
      <c r="D30" s="1">
        <f t="shared" ref="D30:D32" si="16">AVERAGE(I21:K21)</f>
        <v>3.4273247496423465</v>
      </c>
    </row>
    <row r="31" spans="2:50" x14ac:dyDescent="0.2">
      <c r="B31">
        <v>3</v>
      </c>
      <c r="C31" s="1">
        <f t="shared" si="15"/>
        <v>1.5094420600858374</v>
      </c>
      <c r="D31" s="1">
        <f t="shared" si="16"/>
        <v>3.3459227467811155</v>
      </c>
      <c r="E31" s="1"/>
      <c r="F31" s="1"/>
      <c r="G31" s="1"/>
      <c r="H31" s="1"/>
      <c r="I31" s="1"/>
      <c r="J31" s="1"/>
    </row>
    <row r="32" spans="2:50" x14ac:dyDescent="0.2">
      <c r="B32">
        <v>4</v>
      </c>
      <c r="C32" s="1">
        <f t="shared" si="15"/>
        <v>1.0954220314735337</v>
      </c>
      <c r="D32" s="1">
        <f t="shared" si="16"/>
        <v>1.6194563662374819</v>
      </c>
    </row>
    <row r="33" spans="2:5" x14ac:dyDescent="0.2">
      <c r="B33">
        <v>5</v>
      </c>
      <c r="C33" s="1">
        <f>AVERAGE(F20:H20)</f>
        <v>0.99957081545064386</v>
      </c>
      <c r="D33" s="1">
        <f>AVERAGE(L20:N20)</f>
        <v>1.8384835479256081</v>
      </c>
    </row>
    <row r="34" spans="2:5" x14ac:dyDescent="0.2">
      <c r="B34">
        <v>6</v>
      </c>
      <c r="C34" s="1">
        <f t="shared" ref="C34:C36" si="17">AVERAGE(F21:H21)</f>
        <v>1.0590844062947067</v>
      </c>
      <c r="D34" s="1">
        <f t="shared" ref="D34:D36" si="18">AVERAGE(L21:N21)</f>
        <v>2.3902718168812589</v>
      </c>
      <c r="E34" t="s">
        <v>63</v>
      </c>
    </row>
    <row r="35" spans="2:5" x14ac:dyDescent="0.2">
      <c r="B35">
        <v>7</v>
      </c>
      <c r="C35" s="1">
        <f t="shared" si="17"/>
        <v>1.4676680972818312</v>
      </c>
      <c r="D35" s="1">
        <f t="shared" si="18"/>
        <v>3.5658082975679544</v>
      </c>
    </row>
    <row r="36" spans="2:5" x14ac:dyDescent="0.2">
      <c r="B36">
        <v>8</v>
      </c>
      <c r="C36" s="1">
        <f t="shared" si="17"/>
        <v>1.2143061516452074</v>
      </c>
      <c r="D36" s="1">
        <f t="shared" si="18"/>
        <v>3.2565092989985693</v>
      </c>
      <c r="E36" t="s">
        <v>64</v>
      </c>
    </row>
    <row r="37" spans="2:5" x14ac:dyDescent="0.2">
      <c r="C37" t="s">
        <v>56</v>
      </c>
      <c r="D37" t="s">
        <v>57</v>
      </c>
    </row>
    <row r="38" spans="2:5" x14ac:dyDescent="0.2">
      <c r="E38" t="s">
        <v>65</v>
      </c>
    </row>
  </sheetData>
  <conditionalFormatting sqref="C25:L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:D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260122_rom_supplements_2_pombe_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2026-01-30T20:45:44Z</dcterms:created>
  <dcterms:modified xsi:type="dcterms:W3CDTF">2026-01-30T20:58:44Z</dcterms:modified>
</cp:coreProperties>
</file>