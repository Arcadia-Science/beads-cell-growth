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/Documents/Beads Paper/"/>
    </mc:Choice>
  </mc:AlternateContent>
  <xr:revisionPtr revIDLastSave="0" documentId="13_ncr:1_{33E61CC1-3A7B-CE45-A355-66511C54F51F}" xr6:coauthVersionLast="47" xr6:coauthVersionMax="47" xr10:uidLastSave="{00000000-0000-0000-0000-000000000000}"/>
  <bookViews>
    <workbookView xWindow="780" yWindow="600" windowWidth="27640" windowHeight="15620" xr2:uid="{E057B0F1-236A-CC40-93DE-9C4ECF9E3DE3}"/>
  </bookViews>
  <sheets>
    <sheet name="260122_rom_24plates_2_pombe_b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/>
  <c r="F31" i="1"/>
  <c r="G31" i="1"/>
  <c r="H31" i="1"/>
  <c r="I31" i="1"/>
  <c r="J31" i="1"/>
  <c r="K31" i="1"/>
  <c r="L31" i="1"/>
  <c r="C31" i="1"/>
  <c r="BT17" i="1"/>
  <c r="BS17" i="1"/>
  <c r="BR17" i="1"/>
  <c r="BQ17" i="1"/>
  <c r="BP17" i="1"/>
  <c r="BO17" i="1"/>
  <c r="BN17" i="1"/>
  <c r="BM17" i="1"/>
  <c r="BL17" i="1"/>
  <c r="BK17" i="1"/>
  <c r="BH17" i="1"/>
  <c r="BG17" i="1"/>
  <c r="BF17" i="1"/>
  <c r="BE17" i="1"/>
  <c r="BD17" i="1"/>
  <c r="BC17" i="1"/>
  <c r="BB17" i="1"/>
  <c r="BA17" i="1"/>
  <c r="AZ17" i="1"/>
  <c r="AY17" i="1"/>
  <c r="AV17" i="1"/>
  <c r="AU17" i="1"/>
  <c r="AT17" i="1"/>
  <c r="AS17" i="1"/>
  <c r="AR17" i="1"/>
  <c r="AQ17" i="1"/>
  <c r="AP17" i="1"/>
  <c r="AO17" i="1"/>
  <c r="AN17" i="1"/>
  <c r="AM17" i="1"/>
  <c r="AJ17" i="1"/>
  <c r="AI17" i="1"/>
  <c r="AH17" i="1"/>
  <c r="AG17" i="1"/>
  <c r="AF17" i="1"/>
  <c r="AE17" i="1"/>
  <c r="AD17" i="1"/>
  <c r="AC17" i="1"/>
  <c r="AB17" i="1"/>
  <c r="AA17" i="1"/>
  <c r="X17" i="1"/>
  <c r="W17" i="1"/>
  <c r="V17" i="1"/>
  <c r="U17" i="1"/>
  <c r="T17" i="1"/>
  <c r="S17" i="1"/>
  <c r="R17" i="1"/>
  <c r="Q17" i="1"/>
  <c r="P17" i="1"/>
  <c r="O17" i="1"/>
  <c r="L17" i="1"/>
  <c r="K17" i="1"/>
  <c r="J17" i="1"/>
  <c r="I17" i="1"/>
  <c r="H17" i="1"/>
  <c r="G17" i="1"/>
  <c r="F17" i="1"/>
  <c r="E17" i="1"/>
  <c r="D17" i="1"/>
  <c r="C17" i="1"/>
  <c r="BT16" i="1"/>
  <c r="BS16" i="1"/>
  <c r="BR16" i="1"/>
  <c r="BQ16" i="1"/>
  <c r="BP16" i="1"/>
  <c r="BO16" i="1"/>
  <c r="BN16" i="1"/>
  <c r="BM16" i="1"/>
  <c r="BL16" i="1"/>
  <c r="BK16" i="1"/>
  <c r="BH16" i="1"/>
  <c r="BG16" i="1"/>
  <c r="BF16" i="1"/>
  <c r="BE16" i="1"/>
  <c r="BD16" i="1"/>
  <c r="BC16" i="1"/>
  <c r="BB16" i="1"/>
  <c r="BA16" i="1"/>
  <c r="AZ16" i="1"/>
  <c r="AY16" i="1"/>
  <c r="AV16" i="1"/>
  <c r="AU16" i="1"/>
  <c r="AT16" i="1"/>
  <c r="AS16" i="1"/>
  <c r="AR16" i="1"/>
  <c r="AQ16" i="1"/>
  <c r="AP16" i="1"/>
  <c r="AO16" i="1"/>
  <c r="AN16" i="1"/>
  <c r="AM16" i="1"/>
  <c r="AJ16" i="1"/>
  <c r="AI16" i="1"/>
  <c r="AH16" i="1"/>
  <c r="AG16" i="1"/>
  <c r="AF16" i="1"/>
  <c r="AE16" i="1"/>
  <c r="AD16" i="1"/>
  <c r="AC16" i="1"/>
  <c r="AB16" i="1"/>
  <c r="AA16" i="1"/>
  <c r="X16" i="1"/>
  <c r="W16" i="1"/>
  <c r="V16" i="1"/>
  <c r="U16" i="1"/>
  <c r="T16" i="1"/>
  <c r="S16" i="1"/>
  <c r="R16" i="1"/>
  <c r="Q16" i="1"/>
  <c r="P16" i="1"/>
  <c r="O16" i="1"/>
  <c r="L16" i="1"/>
  <c r="K16" i="1"/>
  <c r="J16" i="1"/>
  <c r="I16" i="1"/>
  <c r="H16" i="1"/>
  <c r="G16" i="1"/>
  <c r="F16" i="1"/>
  <c r="E16" i="1"/>
  <c r="D16" i="1"/>
  <c r="C16" i="1"/>
  <c r="BT15" i="1"/>
  <c r="BS15" i="1"/>
  <c r="BR15" i="1"/>
  <c r="BQ15" i="1"/>
  <c r="BP15" i="1"/>
  <c r="BO15" i="1"/>
  <c r="BN15" i="1"/>
  <c r="BM15" i="1"/>
  <c r="BL15" i="1"/>
  <c r="BK15" i="1"/>
  <c r="BH15" i="1"/>
  <c r="BG15" i="1"/>
  <c r="BF15" i="1"/>
  <c r="BE15" i="1"/>
  <c r="BD15" i="1"/>
  <c r="BC15" i="1"/>
  <c r="BB15" i="1"/>
  <c r="BA15" i="1"/>
  <c r="AZ15" i="1"/>
  <c r="AY15" i="1"/>
  <c r="AV15" i="1"/>
  <c r="AU15" i="1"/>
  <c r="AT15" i="1"/>
  <c r="AS15" i="1"/>
  <c r="AR15" i="1"/>
  <c r="AQ15" i="1"/>
  <c r="AP15" i="1"/>
  <c r="AO15" i="1"/>
  <c r="AN15" i="1"/>
  <c r="AM15" i="1"/>
  <c r="AJ15" i="1"/>
  <c r="AI15" i="1"/>
  <c r="AH15" i="1"/>
  <c r="AG15" i="1"/>
  <c r="AF15" i="1"/>
  <c r="AE15" i="1"/>
  <c r="AD15" i="1"/>
  <c r="AC15" i="1"/>
  <c r="AB15" i="1"/>
  <c r="AA15" i="1"/>
  <c r="X15" i="1"/>
  <c r="W15" i="1"/>
  <c r="V15" i="1"/>
  <c r="U15" i="1"/>
  <c r="T15" i="1"/>
  <c r="S15" i="1"/>
  <c r="R15" i="1"/>
  <c r="Q15" i="1"/>
  <c r="P15" i="1"/>
  <c r="O15" i="1"/>
  <c r="L15" i="1"/>
  <c r="K15" i="1"/>
  <c r="J15" i="1"/>
  <c r="I15" i="1"/>
  <c r="H15" i="1"/>
  <c r="G15" i="1"/>
  <c r="F15" i="1"/>
  <c r="E15" i="1"/>
  <c r="D15" i="1"/>
  <c r="C15" i="1"/>
  <c r="BT14" i="1"/>
  <c r="BS14" i="1"/>
  <c r="BR14" i="1"/>
  <c r="BQ14" i="1"/>
  <c r="BP14" i="1"/>
  <c r="BP19" i="1" s="1"/>
  <c r="BO14" i="1"/>
  <c r="BO19" i="1" s="1"/>
  <c r="BN14" i="1"/>
  <c r="BM14" i="1"/>
  <c r="BL14" i="1"/>
  <c r="BK14" i="1"/>
  <c r="BH14" i="1"/>
  <c r="BG14" i="1"/>
  <c r="BF14" i="1"/>
  <c r="BF19" i="1" s="1"/>
  <c r="BE14" i="1"/>
  <c r="BE19" i="1" s="1"/>
  <c r="BD14" i="1"/>
  <c r="BC14" i="1"/>
  <c r="BB14" i="1"/>
  <c r="BA14" i="1"/>
  <c r="AZ14" i="1"/>
  <c r="AY14" i="1"/>
  <c r="AV14" i="1"/>
  <c r="AV19" i="1" s="1"/>
  <c r="AU14" i="1"/>
  <c r="AU19" i="1" s="1"/>
  <c r="AT14" i="1"/>
  <c r="AS14" i="1"/>
  <c r="AR14" i="1"/>
  <c r="AQ14" i="1"/>
  <c r="AP14" i="1"/>
  <c r="AO14" i="1"/>
  <c r="AN14" i="1"/>
  <c r="AN19" i="1" s="1"/>
  <c r="AM14" i="1"/>
  <c r="AM19" i="1" s="1"/>
  <c r="AJ14" i="1"/>
  <c r="AI14" i="1"/>
  <c r="AH14" i="1"/>
  <c r="AG14" i="1"/>
  <c r="AF14" i="1"/>
  <c r="AE14" i="1"/>
  <c r="AD14" i="1"/>
  <c r="AD19" i="1" s="1"/>
  <c r="AC14" i="1"/>
  <c r="AC19" i="1" s="1"/>
  <c r="AB14" i="1"/>
  <c r="AA14" i="1"/>
  <c r="X14" i="1"/>
  <c r="W14" i="1"/>
  <c r="V14" i="1"/>
  <c r="U14" i="1"/>
  <c r="T14" i="1"/>
  <c r="T19" i="1" s="1"/>
  <c r="S14" i="1"/>
  <c r="S19" i="1" s="1"/>
  <c r="R14" i="1"/>
  <c r="Q14" i="1"/>
  <c r="P14" i="1"/>
  <c r="O14" i="1"/>
  <c r="L14" i="1"/>
  <c r="K14" i="1"/>
  <c r="J14" i="1"/>
  <c r="J19" i="1" s="1"/>
  <c r="I14" i="1"/>
  <c r="I19" i="1" s="1"/>
  <c r="H14" i="1"/>
  <c r="G14" i="1"/>
  <c r="F14" i="1"/>
  <c r="E14" i="1"/>
  <c r="D14" i="1"/>
  <c r="C14" i="1"/>
  <c r="BT13" i="1"/>
  <c r="BT19" i="1" s="1"/>
  <c r="BS13" i="1"/>
  <c r="K26" i="1" s="1"/>
  <c r="BR13" i="1"/>
  <c r="BR19" i="1" s="1"/>
  <c r="BQ13" i="1"/>
  <c r="BQ19" i="1" s="1"/>
  <c r="BP13" i="1"/>
  <c r="BO13" i="1"/>
  <c r="BN13" i="1"/>
  <c r="BM13" i="1"/>
  <c r="BL13" i="1"/>
  <c r="BL19" i="1" s="1"/>
  <c r="BK13" i="1"/>
  <c r="BK19" i="1" s="1"/>
  <c r="BH13" i="1"/>
  <c r="BH19" i="1" s="1"/>
  <c r="BG13" i="1"/>
  <c r="BG19" i="1" s="1"/>
  <c r="BF13" i="1"/>
  <c r="BE13" i="1"/>
  <c r="BD13" i="1"/>
  <c r="BC13" i="1"/>
  <c r="BB13" i="1"/>
  <c r="BB19" i="1" s="1"/>
  <c r="BA13" i="1"/>
  <c r="BA19" i="1" s="1"/>
  <c r="AZ13" i="1"/>
  <c r="AZ19" i="1" s="1"/>
  <c r="AY13" i="1"/>
  <c r="AY19" i="1" s="1"/>
  <c r="AV13" i="1"/>
  <c r="AU13" i="1"/>
  <c r="AT13" i="1"/>
  <c r="AS13" i="1"/>
  <c r="AR13" i="1"/>
  <c r="AR19" i="1" s="1"/>
  <c r="AQ13" i="1"/>
  <c r="G24" i="1" s="1"/>
  <c r="AP13" i="1"/>
  <c r="AP19" i="1" s="1"/>
  <c r="AO13" i="1"/>
  <c r="AO19" i="1" s="1"/>
  <c r="AN13" i="1"/>
  <c r="AM13" i="1"/>
  <c r="AJ13" i="1"/>
  <c r="AI13" i="1"/>
  <c r="AH13" i="1"/>
  <c r="AH19" i="1" s="1"/>
  <c r="AG13" i="1"/>
  <c r="AG19" i="1" s="1"/>
  <c r="AF13" i="1"/>
  <c r="AF19" i="1" s="1"/>
  <c r="AE13" i="1"/>
  <c r="AE19" i="1" s="1"/>
  <c r="AD13" i="1"/>
  <c r="AC13" i="1"/>
  <c r="AB13" i="1"/>
  <c r="AA13" i="1"/>
  <c r="X13" i="1"/>
  <c r="X19" i="1" s="1"/>
  <c r="W13" i="1"/>
  <c r="W19" i="1" s="1"/>
  <c r="V13" i="1"/>
  <c r="V19" i="1" s="1"/>
  <c r="U13" i="1"/>
  <c r="U19" i="1" s="1"/>
  <c r="T13" i="1"/>
  <c r="S13" i="1"/>
  <c r="R13" i="1"/>
  <c r="Q13" i="1"/>
  <c r="P13" i="1"/>
  <c r="P19" i="1" s="1"/>
  <c r="O13" i="1"/>
  <c r="O19" i="1" s="1"/>
  <c r="L13" i="1"/>
  <c r="L19" i="1" s="1"/>
  <c r="K13" i="1"/>
  <c r="K19" i="1" s="1"/>
  <c r="J13" i="1"/>
  <c r="I13" i="1"/>
  <c r="H13" i="1"/>
  <c r="G13" i="1"/>
  <c r="F13" i="1"/>
  <c r="F19" i="1" s="1"/>
  <c r="E13" i="1"/>
  <c r="E21" i="1" s="1"/>
  <c r="D13" i="1"/>
  <c r="D19" i="1" s="1"/>
  <c r="C13" i="1"/>
  <c r="C19" i="1" s="1"/>
  <c r="G21" i="1" l="1"/>
  <c r="E22" i="1"/>
  <c r="C23" i="1"/>
  <c r="K23" i="1"/>
  <c r="I24" i="1"/>
  <c r="I33" i="1" s="1"/>
  <c r="G25" i="1"/>
  <c r="G33" i="1" s="1"/>
  <c r="E26" i="1"/>
  <c r="H21" i="1"/>
  <c r="F22" i="1"/>
  <c r="D23" i="1"/>
  <c r="L23" i="1"/>
  <c r="J24" i="1"/>
  <c r="J33" i="1" s="1"/>
  <c r="H25" i="1"/>
  <c r="F26" i="1"/>
  <c r="I21" i="1"/>
  <c r="G22" i="1"/>
  <c r="E23" i="1"/>
  <c r="C24" i="1"/>
  <c r="K24" i="1"/>
  <c r="K33" i="1" s="1"/>
  <c r="I25" i="1"/>
  <c r="G26" i="1"/>
  <c r="J21" i="1"/>
  <c r="H22" i="1"/>
  <c r="F23" i="1"/>
  <c r="D24" i="1"/>
  <c r="L24" i="1"/>
  <c r="J25" i="1"/>
  <c r="H26" i="1"/>
  <c r="I32" i="1"/>
  <c r="K32" i="1"/>
  <c r="K22" i="1"/>
  <c r="F21" i="1"/>
  <c r="D22" i="1"/>
  <c r="L22" i="1"/>
  <c r="J23" i="1"/>
  <c r="H24" i="1"/>
  <c r="F25" i="1"/>
  <c r="D26" i="1"/>
  <c r="G19" i="1"/>
  <c r="Q19" i="1"/>
  <c r="AA19" i="1"/>
  <c r="AI19" i="1"/>
  <c r="AS19" i="1"/>
  <c r="BC19" i="1"/>
  <c r="BM19" i="1"/>
  <c r="C21" i="1"/>
  <c r="K21" i="1"/>
  <c r="I22" i="1"/>
  <c r="I30" i="1" s="1"/>
  <c r="G23" i="1"/>
  <c r="G30" i="1" s="1"/>
  <c r="E24" i="1"/>
  <c r="C25" i="1"/>
  <c r="K25" i="1"/>
  <c r="I26" i="1"/>
  <c r="H19" i="1"/>
  <c r="R19" i="1"/>
  <c r="AB19" i="1"/>
  <c r="AJ19" i="1"/>
  <c r="AT19" i="1"/>
  <c r="BD19" i="1"/>
  <c r="BN19" i="1"/>
  <c r="D21" i="1"/>
  <c r="L21" i="1"/>
  <c r="J22" i="1"/>
  <c r="H23" i="1"/>
  <c r="H30" i="1" s="1"/>
  <c r="F24" i="1"/>
  <c r="D25" i="1"/>
  <c r="D32" i="1" s="1"/>
  <c r="L25" i="1"/>
  <c r="J26" i="1"/>
  <c r="I23" i="1"/>
  <c r="C22" i="1"/>
  <c r="E25" i="1"/>
  <c r="C26" i="1"/>
  <c r="L26" i="1"/>
  <c r="E19" i="1"/>
  <c r="AQ19" i="1"/>
  <c r="BS19" i="1"/>
  <c r="E32" i="1" l="1"/>
  <c r="E33" i="1"/>
  <c r="G32" i="1"/>
  <c r="D33" i="1"/>
  <c r="F32" i="1"/>
  <c r="F33" i="1"/>
  <c r="C33" i="1"/>
  <c r="E30" i="1"/>
  <c r="L32" i="1"/>
  <c r="C32" i="1"/>
  <c r="F30" i="1"/>
  <c r="K30" i="1"/>
  <c r="L33" i="1"/>
  <c r="J32" i="1"/>
  <c r="H32" i="1"/>
  <c r="H33" i="1"/>
  <c r="J30" i="1"/>
  <c r="L30" i="1"/>
  <c r="D30" i="1"/>
  <c r="C30" i="1"/>
</calcChain>
</file>

<file path=xl/sharedStrings.xml><?xml version="1.0" encoding="utf-8"?>
<sst xmlns="http://schemas.openxmlformats.org/spreadsheetml/2006/main" count="126" uniqueCount="124">
  <si>
    <t>##BLOCKS= 1</t>
  </si>
  <si>
    <t>Plate:</t>
  </si>
  <si>
    <t>Plate4</t>
  </si>
  <si>
    <t>TimeFormat</t>
  </si>
  <si>
    <t>Well Scan</t>
  </si>
  <si>
    <t>Absorbance</t>
  </si>
  <si>
    <t>Raw</t>
  </si>
  <si>
    <t>Horizontal Line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</si>
  <si>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</si>
  <si>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</si>
  <si>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</si>
  <si>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</si>
  <si>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</si>
  <si>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</si>
  <si>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</si>
  <si>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</si>
  <si>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</si>
  <si>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</si>
  <si>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</si>
  <si>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</si>
  <si>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</si>
  <si>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</si>
  <si>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</si>
  <si>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</si>
  <si>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</si>
  <si>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</si>
  <si>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</si>
  <si>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</si>
  <si>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</si>
  <si>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</si>
  <si>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</si>
  <si>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</si>
  <si>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</si>
  <si>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</si>
  <si>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</si>
  <si>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</si>
  <si>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</si>
  <si>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</si>
  <si>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</si>
  <si>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</si>
  <si>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</si>
  <si>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</si>
  <si>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</si>
  <si>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</si>
  <si>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</si>
  <si>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</si>
  <si>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</si>
  <si>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</si>
  <si>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</si>
  <si>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</si>
  <si>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</si>
  <si>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</si>
  <si>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</si>
  <si>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</si>
  <si>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</si>
  <si>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</si>
  <si>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</si>
  <si>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</si>
  <si>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</si>
  <si>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</si>
  <si>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</si>
  <si>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</si>
  <si>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</si>
  <si>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</si>
  <si>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</si>
  <si>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</si>
  <si>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</si>
  <si>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</si>
  <si>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</si>
  <si>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</si>
  <si>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</si>
  <si>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</si>
  <si>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</si>
  <si>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</si>
  <si>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</si>
  <si>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</si>
  <si>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</si>
  <si>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</si>
  <si>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</si>
  <si>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</si>
  <si>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</si>
  <si>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</si>
  <si>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</si>
  <si>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</si>
  <si>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</si>
  <si>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</si>
  <si>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</si>
  <si>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</si>
  <si>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</si>
  <si>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</si>
  <si>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</si>
  <si>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</si>
  <si>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</si>
  <si>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</si>
  <si>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</si>
  <si>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</si>
  <si>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</si>
  <si>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</si>
  <si>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</si>
  <si>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</si>
  <si>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</si>
  <si>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</si>
  <si>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</si>
  <si>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</si>
  <si>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</si>
  <si>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~End</t>
  </si>
  <si>
    <t>Original Filename: 260122_rom_24plates_2_pombe_beads_pub; Date Last Saved: 1/22/2026 5:38:51 PM</t>
  </si>
  <si>
    <t>1. These are the raw numbers turned into Ods</t>
  </si>
  <si>
    <t>2. These are the Ods averages across the scan.</t>
  </si>
  <si>
    <t>3. Now let's arrange them by treatments.</t>
  </si>
  <si>
    <t>MUST FLIP THESE&gt;&gt;&gt;</t>
  </si>
  <si>
    <t>A</t>
  </si>
  <si>
    <t>dea2^</t>
  </si>
  <si>
    <t>B</t>
  </si>
  <si>
    <t>C</t>
  </si>
  <si>
    <t>D</t>
  </si>
  <si>
    <t>SP286</t>
  </si>
  <si>
    <t>E</t>
  </si>
  <si>
    <t>F</t>
  </si>
  <si>
    <t>NO BEAD</t>
  </si>
  <si>
    <t>BEAD</t>
  </si>
  <si>
    <t>4. finally, let's avergae by treatment across bio replicates.</t>
  </si>
  <si>
    <t xml:space="preserve"> SP286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</si>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</sst>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2FEE-BF6A-AF4A-8BA2-D43C5CF398EC}">
  <dimension ref="A1:CT33"/>
  <sheetViews>
    <sheetView tabSelected="1" topLeftCell="A5" workbookViewId="0">
      <selection activeCell="L33" sqref="C33:L33"/>
    </sheetView>
  </sheetViews>
  <sheetFormatPr baseColWidth="10" defaultRowHeight="16" x14ac:dyDescent="0.2"/>
  <sheetData>
    <row r="1" spans="1:98" x14ac:dyDescent="0.2">
      <c r="A1" t="s">
        <v>0</v>
      </c>
    </row>
    <row r="2" spans="1:98" x14ac:dyDescent="0.2">
      <c r="A2" t="s">
        <v>1</v>
      </c>
      <c r="B2" t="s">
        <v>2</v>
      </c>
      <c r="C2">
        <v>1.3</v>
      </c>
      <c r="D2" t="s">
        <v>3</v>
      </c>
      <c r="E2" t="s">
        <v>4</v>
      </c>
      <c r="F2" t="s">
        <v>5</v>
      </c>
      <c r="G2" t="s">
        <v>6</v>
      </c>
      <c r="H2" t="b">
        <v>0</v>
      </c>
      <c r="I2">
        <v>5</v>
      </c>
      <c r="J2" t="s">
        <v>7</v>
      </c>
      <c r="K2">
        <v>5</v>
      </c>
      <c r="O2">
        <v>1</v>
      </c>
      <c r="P2">
        <v>595</v>
      </c>
      <c r="Q2">
        <v>1</v>
      </c>
      <c r="R2">
        <v>10</v>
      </c>
      <c r="S2">
        <v>96</v>
      </c>
      <c r="T2">
        <v>1</v>
      </c>
      <c r="U2">
        <v>6</v>
      </c>
    </row>
    <row r="3" spans="1:98" x14ac:dyDescent="0.2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53</v>
      </c>
      <c r="AV3" t="s">
        <v>54</v>
      </c>
      <c r="AW3" t="s">
        <v>55</v>
      </c>
      <c r="AX3" t="s">
        <v>56</v>
      </c>
      <c r="AY3" t="s">
        <v>57</v>
      </c>
      <c r="AZ3" t="s">
        <v>58</v>
      </c>
      <c r="BA3" t="s">
        <v>59</v>
      </c>
      <c r="BB3" t="s">
        <v>60</v>
      </c>
      <c r="BC3" t="s">
        <v>61</v>
      </c>
      <c r="BD3" t="s">
        <v>62</v>
      </c>
      <c r="BE3" t="s">
        <v>63</v>
      </c>
      <c r="BF3" t="s">
        <v>64</v>
      </c>
      <c r="BG3" t="s">
        <v>65</v>
      </c>
      <c r="BH3" t="s">
        <v>66</v>
      </c>
      <c r="BI3" t="s">
        <v>67</v>
      </c>
      <c r="BJ3" t="s">
        <v>68</v>
      </c>
      <c r="BK3" t="s">
        <v>69</v>
      </c>
      <c r="BL3" t="s">
        <v>70</v>
      </c>
      <c r="BM3" t="s">
        <v>71</v>
      </c>
      <c r="BN3" t="s">
        <v>72</v>
      </c>
      <c r="BO3" t="s">
        <v>73</v>
      </c>
      <c r="BP3" t="s">
        <v>74</v>
      </c>
      <c r="BQ3" t="s">
        <v>75</v>
      </c>
      <c r="BR3" t="s">
        <v>76</v>
      </c>
      <c r="BS3" t="s">
        <v>77</v>
      </c>
      <c r="BT3" t="s">
        <v>78</v>
      </c>
      <c r="BU3" t="s">
        <v>79</v>
      </c>
      <c r="BV3" t="s">
        <v>80</v>
      </c>
      <c r="BW3" t="s">
        <v>81</v>
      </c>
      <c r="BX3" t="s">
        <v>82</v>
      </c>
      <c r="BY3" t="s">
        <v>83</v>
      </c>
      <c r="BZ3" t="s">
        <v>84</v>
      </c>
      <c r="CA3" t="s">
        <v>85</v>
      </c>
      <c r="CB3" t="s">
        <v>86</v>
      </c>
      <c r="CC3" t="s">
        <v>87</v>
      </c>
      <c r="CD3" t="s">
        <v>88</v>
      </c>
      <c r="CE3" t="s">
        <v>89</v>
      </c>
      <c r="CF3" t="s">
        <v>90</v>
      </c>
      <c r="CG3" t="s">
        <v>91</v>
      </c>
      <c r="CH3" t="s">
        <v>92</v>
      </c>
      <c r="CI3" t="s">
        <v>93</v>
      </c>
      <c r="CJ3" t="s">
        <v>94</v>
      </c>
      <c r="CK3" t="s">
        <v>95</v>
      </c>
      <c r="CL3" t="s">
        <v>96</v>
      </c>
      <c r="CM3" t="s">
        <v>97</v>
      </c>
      <c r="CN3" t="s">
        <v>98</v>
      </c>
      <c r="CO3" t="s">
        <v>99</v>
      </c>
      <c r="CP3" t="s">
        <v>100</v>
      </c>
      <c r="CQ3" t="s">
        <v>101</v>
      </c>
      <c r="CR3" t="s">
        <v>102</v>
      </c>
      <c r="CS3" t="s">
        <v>103</v>
      </c>
      <c r="CT3" t="s">
        <v>104</v>
      </c>
    </row>
    <row r="4" spans="1:98" x14ac:dyDescent="0.2">
      <c r="A4">
        <v>1</v>
      </c>
      <c r="B4">
        <v>29.9</v>
      </c>
      <c r="C4">
        <v>0.19450000000000001</v>
      </c>
      <c r="D4">
        <v>0.31319999999999998</v>
      </c>
      <c r="E4">
        <v>0.19719999999999999</v>
      </c>
      <c r="F4">
        <v>0.18060000000000001</v>
      </c>
      <c r="G4">
        <v>0.15820000000000001</v>
      </c>
      <c r="H4">
        <v>0.13469999999999999</v>
      </c>
      <c r="I4">
        <v>0.19650000000000001</v>
      </c>
      <c r="J4">
        <v>0.19900000000000001</v>
      </c>
      <c r="K4">
        <v>0.2089</v>
      </c>
      <c r="L4">
        <v>0.1946</v>
      </c>
      <c r="O4">
        <v>0.14249999999999999</v>
      </c>
      <c r="P4">
        <v>0.24379999999999999</v>
      </c>
      <c r="Q4">
        <v>0.19639999999999999</v>
      </c>
      <c r="R4">
        <v>0.17630000000000001</v>
      </c>
      <c r="S4">
        <v>0.1595</v>
      </c>
      <c r="T4">
        <v>0.18579999999999999</v>
      </c>
      <c r="U4">
        <v>0.1898</v>
      </c>
      <c r="V4">
        <v>0.19670000000000001</v>
      </c>
      <c r="W4">
        <v>0.19520000000000001</v>
      </c>
      <c r="X4">
        <v>0.192</v>
      </c>
      <c r="AA4">
        <v>0.22720000000000001</v>
      </c>
      <c r="AB4">
        <v>0.20080000000000001</v>
      </c>
      <c r="AC4">
        <v>0.21679999999999999</v>
      </c>
      <c r="AD4">
        <v>0.19869999999999999</v>
      </c>
      <c r="AE4">
        <v>0.1736</v>
      </c>
      <c r="AF4">
        <v>0.1613</v>
      </c>
      <c r="AG4">
        <v>0.1782</v>
      </c>
      <c r="AH4">
        <v>0.2102</v>
      </c>
      <c r="AI4">
        <v>0.2041</v>
      </c>
      <c r="AJ4">
        <v>0.19819999999999999</v>
      </c>
      <c r="AM4">
        <v>0.27129999999999999</v>
      </c>
      <c r="AN4">
        <v>0.35809999999999997</v>
      </c>
      <c r="AO4">
        <v>0.36199999999999999</v>
      </c>
      <c r="AP4">
        <v>0.27329999999999999</v>
      </c>
      <c r="AQ4">
        <v>0.2273</v>
      </c>
      <c r="AR4">
        <v>0.29120000000000001</v>
      </c>
      <c r="AS4">
        <v>0.31480000000000002</v>
      </c>
      <c r="AT4">
        <v>0.29909999999999998</v>
      </c>
      <c r="AU4">
        <v>0.31409999999999999</v>
      </c>
      <c r="AV4">
        <v>0.314</v>
      </c>
      <c r="AY4">
        <v>0.35820000000000002</v>
      </c>
      <c r="AZ4">
        <v>0.37140000000000001</v>
      </c>
      <c r="BA4">
        <v>0.3382</v>
      </c>
      <c r="BB4">
        <v>0.24979999999999999</v>
      </c>
      <c r="BC4">
        <v>0.20630000000000001</v>
      </c>
      <c r="BD4">
        <v>0.26910000000000001</v>
      </c>
      <c r="BE4">
        <v>0.29559999999999997</v>
      </c>
      <c r="BF4">
        <v>0.29659999999999997</v>
      </c>
      <c r="BG4">
        <v>0.3332</v>
      </c>
      <c r="BH4">
        <v>0.3044</v>
      </c>
      <c r="BK4">
        <v>0.3372</v>
      </c>
      <c r="BL4">
        <v>0.3906</v>
      </c>
      <c r="BM4">
        <v>0.3826</v>
      </c>
      <c r="BN4">
        <v>0.26029999999999998</v>
      </c>
      <c r="BO4">
        <v>0.22670000000000001</v>
      </c>
      <c r="BP4">
        <v>0.23130000000000001</v>
      </c>
      <c r="BQ4">
        <v>0.32279999999999998</v>
      </c>
      <c r="BR4">
        <v>0.35</v>
      </c>
      <c r="BS4">
        <v>0.36780000000000002</v>
      </c>
      <c r="BT4">
        <v>0.33260000000000001</v>
      </c>
    </row>
    <row r="5" spans="1:98" x14ac:dyDescent="0.2">
      <c r="A5">
        <v>2</v>
      </c>
      <c r="B5">
        <v>29.9</v>
      </c>
      <c r="C5">
        <v>0.18720000000000001</v>
      </c>
      <c r="D5">
        <v>0.36059999999999998</v>
      </c>
      <c r="E5">
        <v>0.19719999999999999</v>
      </c>
      <c r="F5">
        <v>0.18870000000000001</v>
      </c>
      <c r="G5">
        <v>0.15759999999999999</v>
      </c>
      <c r="H5">
        <v>0.13819999999999999</v>
      </c>
      <c r="I5">
        <v>0.2056</v>
      </c>
      <c r="J5">
        <v>0.2074</v>
      </c>
      <c r="K5">
        <v>0.2258</v>
      </c>
      <c r="L5">
        <v>0.20349999999999999</v>
      </c>
      <c r="O5">
        <v>0.15570000000000001</v>
      </c>
      <c r="P5">
        <v>0.29499999999999998</v>
      </c>
      <c r="Q5">
        <v>0.2054</v>
      </c>
      <c r="R5">
        <v>0.1835</v>
      </c>
      <c r="S5">
        <v>0.1681</v>
      </c>
      <c r="T5">
        <v>0.18970000000000001</v>
      </c>
      <c r="U5">
        <v>0.1943</v>
      </c>
      <c r="V5">
        <v>0.20849999999999999</v>
      </c>
      <c r="W5">
        <v>0.20669999999999999</v>
      </c>
      <c r="X5">
        <v>0.19570000000000001</v>
      </c>
      <c r="AA5">
        <v>0.24260000000000001</v>
      </c>
      <c r="AB5">
        <v>0.2175</v>
      </c>
      <c r="AC5">
        <v>0.22370000000000001</v>
      </c>
      <c r="AD5">
        <v>0.2</v>
      </c>
      <c r="AE5">
        <v>0.20180000000000001</v>
      </c>
      <c r="AF5">
        <v>0.16889999999999999</v>
      </c>
      <c r="AG5">
        <v>0.18859999999999999</v>
      </c>
      <c r="AH5">
        <v>0.21590000000000001</v>
      </c>
      <c r="AI5">
        <v>0.2114</v>
      </c>
      <c r="AJ5">
        <v>0.21160000000000001</v>
      </c>
      <c r="AM5">
        <v>0.29449999999999998</v>
      </c>
      <c r="AN5">
        <v>0.377</v>
      </c>
      <c r="AO5">
        <v>0.38519999999999999</v>
      </c>
      <c r="AP5">
        <v>0.28910000000000002</v>
      </c>
      <c r="AQ5">
        <v>0.2354</v>
      </c>
      <c r="AR5">
        <v>0.30299999999999999</v>
      </c>
      <c r="AS5">
        <v>0.32900000000000001</v>
      </c>
      <c r="AT5">
        <v>0.31190000000000001</v>
      </c>
      <c r="AU5">
        <v>0.34279999999999999</v>
      </c>
      <c r="AV5">
        <v>0.3306</v>
      </c>
      <c r="AY5">
        <v>0.37930000000000003</v>
      </c>
      <c r="AZ5">
        <v>0.41980000000000001</v>
      </c>
      <c r="BA5">
        <v>0.35039999999999999</v>
      </c>
      <c r="BB5">
        <v>0.26440000000000002</v>
      </c>
      <c r="BC5">
        <v>0.21629999999999999</v>
      </c>
      <c r="BD5">
        <v>0.28060000000000002</v>
      </c>
      <c r="BE5">
        <v>0.30620000000000003</v>
      </c>
      <c r="BF5">
        <v>0.30470000000000003</v>
      </c>
      <c r="BG5">
        <v>0.3498</v>
      </c>
      <c r="BH5">
        <v>0.3211</v>
      </c>
      <c r="BK5">
        <v>0.35299999999999998</v>
      </c>
      <c r="BL5">
        <v>0.4375</v>
      </c>
      <c r="BM5">
        <v>0.3952</v>
      </c>
      <c r="BN5">
        <v>0.26800000000000002</v>
      </c>
      <c r="BO5">
        <v>0.23730000000000001</v>
      </c>
      <c r="BP5">
        <v>0.24210000000000001</v>
      </c>
      <c r="BQ5">
        <v>0.33679999999999999</v>
      </c>
      <c r="BR5">
        <v>0.36509999999999998</v>
      </c>
      <c r="BS5">
        <v>0.39050000000000001</v>
      </c>
      <c r="BT5">
        <v>0.35220000000000001</v>
      </c>
    </row>
    <row r="6" spans="1:98" x14ac:dyDescent="0.2">
      <c r="A6">
        <v>3</v>
      </c>
      <c r="B6">
        <v>29.9</v>
      </c>
      <c r="C6">
        <v>0.18720000000000001</v>
      </c>
      <c r="D6">
        <v>0.41360000000000002</v>
      </c>
      <c r="E6">
        <v>0.20080000000000001</v>
      </c>
      <c r="F6">
        <v>0.1951</v>
      </c>
      <c r="G6">
        <v>0.156</v>
      </c>
      <c r="H6">
        <v>0.14169999999999999</v>
      </c>
      <c r="I6">
        <v>0.2092</v>
      </c>
      <c r="J6">
        <v>0.21340000000000001</v>
      </c>
      <c r="K6">
        <v>0.23330000000000001</v>
      </c>
      <c r="L6">
        <v>0.21060000000000001</v>
      </c>
      <c r="O6">
        <v>0.16869999999999999</v>
      </c>
      <c r="P6">
        <v>0.33050000000000002</v>
      </c>
      <c r="Q6">
        <v>0.21429999999999999</v>
      </c>
      <c r="R6">
        <v>0.19</v>
      </c>
      <c r="S6">
        <v>0.1724</v>
      </c>
      <c r="T6">
        <v>0.19170000000000001</v>
      </c>
      <c r="U6">
        <v>0.1968</v>
      </c>
      <c r="V6">
        <v>0.21429999999999999</v>
      </c>
      <c r="W6">
        <v>0.21179999999999999</v>
      </c>
      <c r="X6">
        <v>0.1958</v>
      </c>
      <c r="AA6">
        <v>0.24249999999999999</v>
      </c>
      <c r="AB6">
        <v>0.22700000000000001</v>
      </c>
      <c r="AC6">
        <v>0.22409999999999999</v>
      </c>
      <c r="AD6">
        <v>0.19850000000000001</v>
      </c>
      <c r="AE6">
        <v>0.2422</v>
      </c>
      <c r="AF6">
        <v>0.17979999999999999</v>
      </c>
      <c r="AG6">
        <v>0.2074</v>
      </c>
      <c r="AH6">
        <v>0.22</v>
      </c>
      <c r="AI6">
        <v>0.22209999999999999</v>
      </c>
      <c r="AJ6">
        <v>0.2258</v>
      </c>
      <c r="AM6">
        <v>0.31140000000000001</v>
      </c>
      <c r="AN6">
        <v>0.38119999999999998</v>
      </c>
      <c r="AO6">
        <v>0.40160000000000001</v>
      </c>
      <c r="AP6">
        <v>0.29709999999999998</v>
      </c>
      <c r="AQ6">
        <v>0.23799999999999999</v>
      </c>
      <c r="AR6">
        <v>0.31119999999999998</v>
      </c>
      <c r="AS6">
        <v>0.34029999999999999</v>
      </c>
      <c r="AT6">
        <v>0.33479999999999999</v>
      </c>
      <c r="AU6">
        <v>0.38059999999999999</v>
      </c>
      <c r="AV6">
        <v>0.34350000000000003</v>
      </c>
      <c r="AY6">
        <v>0.38250000000000001</v>
      </c>
      <c r="AZ6">
        <v>0.4662</v>
      </c>
      <c r="BA6">
        <v>0.36659999999999998</v>
      </c>
      <c r="BB6">
        <v>0.27450000000000002</v>
      </c>
      <c r="BC6">
        <v>0.21970000000000001</v>
      </c>
      <c r="BD6">
        <v>0.2898</v>
      </c>
      <c r="BE6">
        <v>0.32150000000000001</v>
      </c>
      <c r="BF6">
        <v>0.31909999999999999</v>
      </c>
      <c r="BG6">
        <v>0.37580000000000002</v>
      </c>
      <c r="BH6">
        <v>0.33160000000000001</v>
      </c>
      <c r="BK6">
        <v>0.35199999999999998</v>
      </c>
      <c r="BL6">
        <v>0.47060000000000002</v>
      </c>
      <c r="BM6">
        <v>0.39779999999999999</v>
      </c>
      <c r="BN6">
        <v>0.26579999999999998</v>
      </c>
      <c r="BO6">
        <v>0.2397</v>
      </c>
      <c r="BP6">
        <v>0.25209999999999999</v>
      </c>
      <c r="BQ6">
        <v>0.34860000000000002</v>
      </c>
      <c r="BR6">
        <v>0.38969999999999999</v>
      </c>
      <c r="BS6">
        <v>0.40789999999999998</v>
      </c>
      <c r="BT6">
        <v>0.36870000000000003</v>
      </c>
    </row>
    <row r="7" spans="1:98" x14ac:dyDescent="0.2">
      <c r="A7">
        <v>4</v>
      </c>
      <c r="B7">
        <v>29.9</v>
      </c>
      <c r="C7">
        <v>0.18590000000000001</v>
      </c>
      <c r="D7">
        <v>0.41739999999999999</v>
      </c>
      <c r="E7">
        <v>0.20169999999999999</v>
      </c>
      <c r="F7">
        <v>0.1983</v>
      </c>
      <c r="G7">
        <v>0.15620000000000001</v>
      </c>
      <c r="H7">
        <v>0.14419999999999999</v>
      </c>
      <c r="I7">
        <v>0.2092</v>
      </c>
      <c r="J7">
        <v>0.21429999999999999</v>
      </c>
      <c r="K7">
        <v>0.2301</v>
      </c>
      <c r="L7">
        <v>0.21129999999999999</v>
      </c>
      <c r="O7">
        <v>0.17599999999999999</v>
      </c>
      <c r="P7">
        <v>0.31890000000000002</v>
      </c>
      <c r="Q7">
        <v>0.2266</v>
      </c>
      <c r="R7">
        <v>0.19769999999999999</v>
      </c>
      <c r="S7">
        <v>0.17860000000000001</v>
      </c>
      <c r="T7">
        <v>0.19309999999999999</v>
      </c>
      <c r="U7">
        <v>0.19689999999999999</v>
      </c>
      <c r="V7">
        <v>0.21279999999999999</v>
      </c>
      <c r="W7">
        <v>0.21229999999999999</v>
      </c>
      <c r="X7">
        <v>0.18990000000000001</v>
      </c>
      <c r="AA7">
        <v>0.22919999999999999</v>
      </c>
      <c r="AB7">
        <v>0.23419999999999999</v>
      </c>
      <c r="AC7">
        <v>0.22639999999999999</v>
      </c>
      <c r="AD7">
        <v>0.1951</v>
      </c>
      <c r="AE7">
        <v>0.26069999999999999</v>
      </c>
      <c r="AF7">
        <v>0.18360000000000001</v>
      </c>
      <c r="AG7">
        <v>0.21790000000000001</v>
      </c>
      <c r="AH7">
        <v>0.22189999999999999</v>
      </c>
      <c r="AI7">
        <v>0.2286</v>
      </c>
      <c r="AJ7">
        <v>0.23519999999999999</v>
      </c>
      <c r="AM7">
        <v>0.32379999999999998</v>
      </c>
      <c r="AN7">
        <v>0.37480000000000002</v>
      </c>
      <c r="AO7">
        <v>0.4093</v>
      </c>
      <c r="AP7">
        <v>0.29770000000000002</v>
      </c>
      <c r="AQ7">
        <v>0.2374</v>
      </c>
      <c r="AR7">
        <v>0.31690000000000002</v>
      </c>
      <c r="AS7">
        <v>0.34699999999999998</v>
      </c>
      <c r="AT7">
        <v>0.35460000000000003</v>
      </c>
      <c r="AU7">
        <v>0.41139999999999999</v>
      </c>
      <c r="AV7">
        <v>0.3508</v>
      </c>
      <c r="AY7">
        <v>0.36969999999999997</v>
      </c>
      <c r="AZ7">
        <v>0.46610000000000001</v>
      </c>
      <c r="BA7">
        <v>0.37059999999999998</v>
      </c>
      <c r="BB7">
        <v>0.2787</v>
      </c>
      <c r="BC7">
        <v>0.21870000000000001</v>
      </c>
      <c r="BD7">
        <v>0.29299999999999998</v>
      </c>
      <c r="BE7">
        <v>0.33260000000000001</v>
      </c>
      <c r="BF7">
        <v>0.33379999999999999</v>
      </c>
      <c r="BG7">
        <v>0.39789999999999998</v>
      </c>
      <c r="BH7">
        <v>0.33710000000000001</v>
      </c>
      <c r="BK7">
        <v>0.3402</v>
      </c>
      <c r="BL7">
        <v>0.47410000000000002</v>
      </c>
      <c r="BM7">
        <v>0.39119999999999999</v>
      </c>
      <c r="BN7">
        <v>0.26369999999999999</v>
      </c>
      <c r="BO7">
        <v>0.2399</v>
      </c>
      <c r="BP7">
        <v>0.26090000000000002</v>
      </c>
      <c r="BQ7">
        <v>0.35630000000000001</v>
      </c>
      <c r="BR7">
        <v>0.40379999999999999</v>
      </c>
      <c r="BS7">
        <v>0.41689999999999999</v>
      </c>
      <c r="BT7">
        <v>0.37030000000000002</v>
      </c>
    </row>
    <row r="8" spans="1:98" x14ac:dyDescent="0.2">
      <c r="A8">
        <v>5</v>
      </c>
      <c r="B8">
        <v>29.9</v>
      </c>
      <c r="C8">
        <v>0.1875</v>
      </c>
      <c r="D8">
        <v>0.38490000000000002</v>
      </c>
      <c r="E8">
        <v>0.20230000000000001</v>
      </c>
      <c r="F8">
        <v>0.19739999999999999</v>
      </c>
      <c r="G8">
        <v>0.15989999999999999</v>
      </c>
      <c r="H8">
        <v>0.1452</v>
      </c>
      <c r="I8">
        <v>0.20760000000000001</v>
      </c>
      <c r="J8">
        <v>0.2104</v>
      </c>
      <c r="K8">
        <v>0.22259999999999999</v>
      </c>
      <c r="L8">
        <v>0.20680000000000001</v>
      </c>
      <c r="O8">
        <v>0.17480000000000001</v>
      </c>
      <c r="P8">
        <v>0.25030000000000002</v>
      </c>
      <c r="Q8">
        <v>0.23119999999999999</v>
      </c>
      <c r="R8">
        <v>0.1986</v>
      </c>
      <c r="S8">
        <v>0.18210000000000001</v>
      </c>
      <c r="T8">
        <v>0.2051</v>
      </c>
      <c r="U8">
        <v>0.1915</v>
      </c>
      <c r="V8">
        <v>0.21379999999999999</v>
      </c>
      <c r="W8">
        <v>0.2082</v>
      </c>
      <c r="X8">
        <v>0.19350000000000001</v>
      </c>
      <c r="AA8">
        <v>0.20979999999999999</v>
      </c>
      <c r="AB8">
        <v>0.23180000000000001</v>
      </c>
      <c r="AC8">
        <v>0.2213</v>
      </c>
      <c r="AD8">
        <v>0.18990000000000001</v>
      </c>
      <c r="AE8">
        <v>0.25480000000000003</v>
      </c>
      <c r="AF8">
        <v>0.1842</v>
      </c>
      <c r="AG8">
        <v>0.2185</v>
      </c>
      <c r="AH8">
        <v>0.219</v>
      </c>
      <c r="AI8">
        <v>0.23150000000000001</v>
      </c>
      <c r="AJ8">
        <v>0.2354</v>
      </c>
      <c r="AM8">
        <v>0.32319999999999999</v>
      </c>
      <c r="AN8">
        <v>0.3528</v>
      </c>
      <c r="AO8">
        <v>0.39629999999999999</v>
      </c>
      <c r="AP8">
        <v>0.29620000000000002</v>
      </c>
      <c r="AQ8">
        <v>0.2382</v>
      </c>
      <c r="AR8">
        <v>0.31929999999999997</v>
      </c>
      <c r="AS8">
        <v>0.34420000000000001</v>
      </c>
      <c r="AT8">
        <v>0.36799999999999999</v>
      </c>
      <c r="AU8">
        <v>0.41959999999999997</v>
      </c>
      <c r="AV8">
        <v>0.34320000000000001</v>
      </c>
      <c r="AY8">
        <v>0.3518</v>
      </c>
      <c r="AZ8">
        <v>0.42880000000000001</v>
      </c>
      <c r="BA8">
        <v>0.36180000000000001</v>
      </c>
      <c r="BB8">
        <v>0.27779999999999999</v>
      </c>
      <c r="BC8">
        <v>0.21490000000000001</v>
      </c>
      <c r="BD8">
        <v>0.2974</v>
      </c>
      <c r="BE8">
        <v>0.34160000000000001</v>
      </c>
      <c r="BF8">
        <v>0.34420000000000001</v>
      </c>
      <c r="BG8">
        <v>0.4047</v>
      </c>
      <c r="BH8">
        <v>0.33239999999999997</v>
      </c>
      <c r="BK8">
        <v>0.31680000000000003</v>
      </c>
      <c r="BL8">
        <v>0.43790000000000001</v>
      </c>
      <c r="BM8">
        <v>0.38090000000000002</v>
      </c>
      <c r="BN8">
        <v>0.25109999999999999</v>
      </c>
      <c r="BO8">
        <v>0.24049999999999999</v>
      </c>
      <c r="BP8">
        <v>0.2641</v>
      </c>
      <c r="BQ8">
        <v>0.35580000000000001</v>
      </c>
      <c r="BR8">
        <v>0.41060000000000002</v>
      </c>
      <c r="BS8">
        <v>0.41920000000000002</v>
      </c>
      <c r="BT8">
        <v>0.3594</v>
      </c>
    </row>
    <row r="10" spans="1:98" x14ac:dyDescent="0.2">
      <c r="A10" t="s">
        <v>105</v>
      </c>
    </row>
    <row r="11" spans="1:98" x14ac:dyDescent="0.2">
      <c r="A11" t="s">
        <v>106</v>
      </c>
    </row>
    <row r="12" spans="1:98" x14ac:dyDescent="0.2">
      <c r="B12" t="s">
        <v>107</v>
      </c>
    </row>
    <row r="13" spans="1:98" x14ac:dyDescent="0.2">
      <c r="C13" s="1">
        <f>(C4-0.06674)/0.0466</f>
        <v>2.7416309012875537</v>
      </c>
      <c r="D13" s="1">
        <f>(D4-0.06674)/0.0466</f>
        <v>5.2888412017167372</v>
      </c>
      <c r="E13" s="1">
        <f>(E4-0.06674)/0.0466</f>
        <v>2.7995708154506436</v>
      </c>
      <c r="F13" s="1">
        <f>(F4-0.06674)/0.0466</f>
        <v>2.4433476394849789</v>
      </c>
      <c r="G13" s="1">
        <f>(G4-0.06674)/0.0466</f>
        <v>1.9626609442060088</v>
      </c>
      <c r="H13" s="1">
        <f>(H4-0.06674)/0.0466</f>
        <v>1.458369098712446</v>
      </c>
      <c r="I13" s="1">
        <f>(I4-0.06674)/0.0466</f>
        <v>2.784549356223176</v>
      </c>
      <c r="J13" s="1">
        <f>(J4-0.06674)/0.0466</f>
        <v>2.8381974248927042</v>
      </c>
      <c r="K13" s="1">
        <f>(K4-0.06674)/0.0466</f>
        <v>3.0506437768240344</v>
      </c>
      <c r="L13" s="1">
        <f>(L4-0.06674)/0.0466</f>
        <v>2.7437768240343345</v>
      </c>
      <c r="M13" s="1"/>
      <c r="N13" s="1"/>
      <c r="O13" s="1">
        <f>(O4-0.06674)/0.0466</f>
        <v>1.6257510729613731</v>
      </c>
      <c r="P13" s="1">
        <f>(P4-0.06674)/0.0466</f>
        <v>3.7995708154506436</v>
      </c>
      <c r="Q13" s="1">
        <f>(Q4-0.06674)/0.0466</f>
        <v>2.7824034334763947</v>
      </c>
      <c r="R13" s="1">
        <f>(R4-0.06674)/0.0466</f>
        <v>2.3510729613733909</v>
      </c>
      <c r="S13" s="1">
        <f>(S4-0.06674)/0.0466</f>
        <v>1.9905579399141631</v>
      </c>
      <c r="T13" s="1">
        <f>(T4-0.06674)/0.0466</f>
        <v>2.5549356223175965</v>
      </c>
      <c r="U13" s="1">
        <f>(U4-0.06674)/0.0466</f>
        <v>2.6407725321888411</v>
      </c>
      <c r="V13" s="1">
        <f>(V4-0.06674)/0.0466</f>
        <v>2.7888412017167385</v>
      </c>
      <c r="W13" s="1">
        <f>(W4-0.06674)/0.0466</f>
        <v>2.7566523605150217</v>
      </c>
      <c r="X13" s="1">
        <f>(X4-0.06674)/0.0466</f>
        <v>2.687982832618026</v>
      </c>
      <c r="Y13" s="1"/>
      <c r="Z13" s="1"/>
      <c r="AA13" s="1">
        <f>(AA4-0.06674)/0.0466</f>
        <v>3.4433476394849789</v>
      </c>
      <c r="AB13" s="1">
        <f>(AB4-0.06674)/0.0466</f>
        <v>2.876824034334764</v>
      </c>
      <c r="AC13" s="1">
        <f>(AC4-0.06674)/0.0466</f>
        <v>3.2201716738197423</v>
      </c>
      <c r="AD13" s="1">
        <f>(AD4-0.06674)/0.0466</f>
        <v>2.8317596566523604</v>
      </c>
      <c r="AE13" s="1">
        <f>(AE4-0.06674)/0.0466</f>
        <v>2.2931330472103006</v>
      </c>
      <c r="AF13" s="1">
        <f>(AF4-0.06674)/0.0466</f>
        <v>2.0291845493562231</v>
      </c>
      <c r="AG13" s="1">
        <f>(AG4-0.06674)/0.0466</f>
        <v>2.3918454935622315</v>
      </c>
      <c r="AH13" s="1">
        <f>(AH4-0.06674)/0.0466</f>
        <v>3.0785407725321887</v>
      </c>
      <c r="AI13" s="1">
        <f>(AI4-0.06674)/0.0466</f>
        <v>2.947639484978541</v>
      </c>
      <c r="AJ13" s="1">
        <f>(AJ4-0.06674)/0.0466</f>
        <v>2.8210300429184545</v>
      </c>
      <c r="AK13" s="1"/>
      <c r="AL13" s="1"/>
      <c r="AM13" s="1">
        <f>(AM4-0.06674)/0.0466</f>
        <v>4.3896995708154503</v>
      </c>
      <c r="AN13" s="1">
        <f>(AN4-0.06674)/0.0466</f>
        <v>6.2523605150214578</v>
      </c>
      <c r="AO13" s="1">
        <f>(AO4-0.06674)/0.0466</f>
        <v>6.3360515021459216</v>
      </c>
      <c r="AP13" s="1">
        <f>(AP4-0.06674)/0.0466</f>
        <v>4.432618025751073</v>
      </c>
      <c r="AQ13" s="1">
        <f>(AQ4-0.06674)/0.0466</f>
        <v>3.4454935622317597</v>
      </c>
      <c r="AR13" s="1">
        <f>(AR4-0.06674)/0.0466</f>
        <v>4.8167381974248933</v>
      </c>
      <c r="AS13" s="1">
        <f>(AS4-0.06674)/0.0466</f>
        <v>5.3231759656652367</v>
      </c>
      <c r="AT13" s="1">
        <f>(AT4-0.06674)/0.0466</f>
        <v>4.9862660944205999</v>
      </c>
      <c r="AU13" s="1">
        <f>(AU4-0.06674)/0.0466</f>
        <v>5.3081545064377682</v>
      </c>
      <c r="AV13" s="1">
        <f>(AV4-0.06674)/0.0466</f>
        <v>5.3060085836909874</v>
      </c>
      <c r="AW13" s="1"/>
      <c r="AX13" s="1"/>
      <c r="AY13" s="1">
        <f>(AY4-0.06674)/0.0466</f>
        <v>6.2545064377682413</v>
      </c>
      <c r="AZ13" s="1">
        <f>(AZ4-0.06674)/0.0466</f>
        <v>6.5377682403433486</v>
      </c>
      <c r="BA13" s="1">
        <f>(BA4-0.06674)/0.0466</f>
        <v>5.8253218884120175</v>
      </c>
      <c r="BB13" s="1">
        <f>(BB4-0.06674)/0.0466</f>
        <v>3.9283261802575105</v>
      </c>
      <c r="BC13" s="1">
        <f>(BC4-0.06674)/0.0466</f>
        <v>2.9948497854077254</v>
      </c>
      <c r="BD13" s="1">
        <f>(BD4-0.06674)/0.0466</f>
        <v>4.3424892703862659</v>
      </c>
      <c r="BE13" s="1">
        <f>(BE4-0.06674)/0.0466</f>
        <v>4.9111587982832612</v>
      </c>
      <c r="BF13" s="1">
        <f>(BF4-0.06674)/0.0466</f>
        <v>4.9326180257510721</v>
      </c>
      <c r="BG13" s="1">
        <f>(BG4-0.06674)/0.0466</f>
        <v>5.718025751072962</v>
      </c>
      <c r="BH13" s="1">
        <f>(BH4-0.06674)/0.0466</f>
        <v>5.0999999999999996</v>
      </c>
      <c r="BI13" s="1"/>
      <c r="BJ13" s="1"/>
      <c r="BK13" s="1">
        <f>(BK4-0.06674)/0.0466</f>
        <v>5.8038626609442066</v>
      </c>
      <c r="BL13" s="1">
        <f>(BL4-0.06674)/0.0466</f>
        <v>6.9497854077253223</v>
      </c>
      <c r="BM13" s="1">
        <f>(BM4-0.06674)/0.0466</f>
        <v>6.7781115879828331</v>
      </c>
      <c r="BN13" s="1">
        <f>(BN4-0.06674)/0.0466</f>
        <v>4.1536480686695274</v>
      </c>
      <c r="BO13" s="1">
        <f>(BO4-0.06674)/0.0466</f>
        <v>3.432618025751073</v>
      </c>
      <c r="BP13" s="1">
        <f>(BP4-0.06674)/0.0466</f>
        <v>3.5313304721030043</v>
      </c>
      <c r="BQ13" s="1">
        <f>(BQ4-0.06674)/0.0466</f>
        <v>5.4948497854077241</v>
      </c>
      <c r="BR13" s="1">
        <f>(BR4-0.06674)/0.0466</f>
        <v>6.0785407725321878</v>
      </c>
      <c r="BS13" s="1">
        <f>(BS4-0.06674)/0.0466</f>
        <v>6.4605150214592273</v>
      </c>
      <c r="BT13" s="1">
        <f>(BT4-0.06674)/0.0466</f>
        <v>5.7051502145922743</v>
      </c>
    </row>
    <row r="14" spans="1:98" x14ac:dyDescent="0.2">
      <c r="C14" s="1">
        <f>(C5-0.06674)/0.0466</f>
        <v>2.5849785407725321</v>
      </c>
      <c r="D14" s="1">
        <f>(D5-0.06674)/0.0466</f>
        <v>6.3060085836909874</v>
      </c>
      <c r="E14" s="1">
        <f>(E5-0.06674)/0.0466</f>
        <v>2.7995708154506436</v>
      </c>
      <c r="F14" s="1">
        <f>(F5-0.06674)/0.0466</f>
        <v>2.6171673819742489</v>
      </c>
      <c r="G14" s="1">
        <f>(G5-0.06674)/0.0466</f>
        <v>1.9497854077253216</v>
      </c>
      <c r="H14" s="1">
        <f>(H5-0.06674)/0.0466</f>
        <v>1.5334763948497852</v>
      </c>
      <c r="I14" s="1">
        <f>(I5-0.06674)/0.0466</f>
        <v>2.9798283261802574</v>
      </c>
      <c r="J14" s="1">
        <f>(J5-0.06674)/0.0466</f>
        <v>3.0184549356223176</v>
      </c>
      <c r="K14" s="1">
        <f>(K5-0.06674)/0.0466</f>
        <v>3.4133047210300429</v>
      </c>
      <c r="L14" s="1">
        <f>(L5-0.06674)/0.0466</f>
        <v>2.9347639484978538</v>
      </c>
      <c r="M14" s="1"/>
      <c r="N14" s="1"/>
      <c r="O14" s="1">
        <f>(O5-0.06674)/0.0466</f>
        <v>1.9090128755364808</v>
      </c>
      <c r="P14" s="1">
        <f>(P5-0.06674)/0.0466</f>
        <v>4.8982832618025745</v>
      </c>
      <c r="Q14" s="1">
        <f>(Q5-0.06674)/0.0466</f>
        <v>2.9755364806866953</v>
      </c>
      <c r="R14" s="1">
        <f>(R5-0.06674)/0.0466</f>
        <v>2.5055793991416309</v>
      </c>
      <c r="S14" s="1">
        <f>(S5-0.06674)/0.0466</f>
        <v>2.1751072961373392</v>
      </c>
      <c r="T14" s="1">
        <f>(T5-0.06674)/0.0466</f>
        <v>2.6386266094420603</v>
      </c>
      <c r="U14" s="1">
        <f>(U5-0.06674)/0.0466</f>
        <v>2.7373390557939916</v>
      </c>
      <c r="V14" s="1">
        <f>(V5-0.06674)/0.0466</f>
        <v>3.0420600858369098</v>
      </c>
      <c r="W14" s="1">
        <f>(W5-0.06674)/0.0466</f>
        <v>3.0034334763948496</v>
      </c>
      <c r="X14" s="1">
        <f>(X5-0.06674)/0.0466</f>
        <v>2.7673819742489272</v>
      </c>
      <c r="Y14" s="1"/>
      <c r="Z14" s="1"/>
      <c r="AA14" s="1">
        <f>(AA5-0.06674)/0.0466</f>
        <v>3.7738197424892705</v>
      </c>
      <c r="AB14" s="1">
        <f>(AB5-0.06674)/0.0466</f>
        <v>3.2351931330472103</v>
      </c>
      <c r="AC14" s="1">
        <f>(AC5-0.06674)/0.0466</f>
        <v>3.3682403433476398</v>
      </c>
      <c r="AD14" s="1">
        <f>(AD5-0.06674)/0.0466</f>
        <v>2.8596566523605151</v>
      </c>
      <c r="AE14" s="1">
        <f>(AE5-0.06674)/0.0466</f>
        <v>2.8982832618025753</v>
      </c>
      <c r="AF14" s="1">
        <f>(AF5-0.06674)/0.0466</f>
        <v>2.192274678111588</v>
      </c>
      <c r="AG14" s="1">
        <f>(AG5-0.06674)/0.0466</f>
        <v>2.6150214592274676</v>
      </c>
      <c r="AH14" s="1">
        <f>(AH5-0.06674)/0.0466</f>
        <v>3.2008583690987127</v>
      </c>
      <c r="AI14" s="1">
        <f>(AI5-0.06674)/0.0466</f>
        <v>3.1042918454935622</v>
      </c>
      <c r="AJ14" s="1">
        <f>(AJ5-0.06674)/0.0466</f>
        <v>3.1085836909871247</v>
      </c>
      <c r="AK14" s="1"/>
      <c r="AL14" s="1"/>
      <c r="AM14" s="1">
        <f>(AM5-0.06674)/0.0466</f>
        <v>4.8875536480686694</v>
      </c>
      <c r="AN14" s="1">
        <f>(AN5-0.06674)/0.0466</f>
        <v>6.6579399141630891</v>
      </c>
      <c r="AO14" s="1">
        <f>(AO5-0.06674)/0.0466</f>
        <v>6.8339055793991408</v>
      </c>
      <c r="AP14" s="1">
        <f>(AP5-0.06674)/0.0466</f>
        <v>4.7716738197424897</v>
      </c>
      <c r="AQ14" s="1">
        <f>(AQ5-0.06674)/0.0466</f>
        <v>3.6193133047210297</v>
      </c>
      <c r="AR14" s="1">
        <f>(AR5-0.06674)/0.0466</f>
        <v>5.0699570815450636</v>
      </c>
      <c r="AS14" s="1">
        <f>(AS5-0.06674)/0.0466</f>
        <v>5.6278969957081548</v>
      </c>
      <c r="AT14" s="1">
        <f>(AT5-0.06674)/0.0466</f>
        <v>5.2609442060085838</v>
      </c>
      <c r="AU14" s="1">
        <f>(AU5-0.06674)/0.0466</f>
        <v>5.9240343347639479</v>
      </c>
      <c r="AV14" s="1">
        <f>(AV5-0.06674)/0.0466</f>
        <v>5.6622317596566516</v>
      </c>
      <c r="AW14" s="1"/>
      <c r="AX14" s="1"/>
      <c r="AY14" s="1">
        <f>(AY5-0.06674)/0.0466</f>
        <v>6.7072961373390569</v>
      </c>
      <c r="AZ14" s="1">
        <f>(AZ5-0.06674)/0.0466</f>
        <v>7.5763948497854079</v>
      </c>
      <c r="BA14" s="1">
        <f>(BA5-0.06674)/0.0466</f>
        <v>6.0871244635193138</v>
      </c>
      <c r="BB14" s="1">
        <f>(BB5-0.06674)/0.0466</f>
        <v>4.2416309012875537</v>
      </c>
      <c r="BC14" s="1">
        <f>(BC5-0.06674)/0.0466</f>
        <v>3.2094420600858369</v>
      </c>
      <c r="BD14" s="1">
        <f>(BD5-0.06674)/0.0466</f>
        <v>4.5892703862660946</v>
      </c>
      <c r="BE14" s="1">
        <f>(BE5-0.06674)/0.0466</f>
        <v>5.1386266094420607</v>
      </c>
      <c r="BF14" s="1">
        <f>(BF5-0.06674)/0.0466</f>
        <v>5.1064377682403439</v>
      </c>
      <c r="BG14" s="1">
        <f>(BG5-0.06674)/0.0466</f>
        <v>6.0742489270386262</v>
      </c>
      <c r="BH14" s="1">
        <f>(BH5-0.06674)/0.0466</f>
        <v>5.4583690987124465</v>
      </c>
      <c r="BI14" s="1"/>
      <c r="BJ14" s="1"/>
      <c r="BK14" s="1">
        <f>(BK5-0.06674)/0.0466</f>
        <v>6.1429184549356215</v>
      </c>
      <c r="BL14" s="1">
        <f>(BL5-0.06674)/0.0466</f>
        <v>7.9562231759656648</v>
      </c>
      <c r="BM14" s="1">
        <f>(BM5-0.06674)/0.0466</f>
        <v>7.0484978540772527</v>
      </c>
      <c r="BN14" s="1">
        <f>(BN5-0.06674)/0.0466</f>
        <v>4.3188841201716741</v>
      </c>
      <c r="BO14" s="1">
        <f>(BO5-0.06674)/0.0466</f>
        <v>3.6600858369098712</v>
      </c>
      <c r="BP14" s="1">
        <f>(BP5-0.06674)/0.0466</f>
        <v>3.7630901287553651</v>
      </c>
      <c r="BQ14" s="1">
        <f>(BQ5-0.06674)/0.0466</f>
        <v>5.7952789699570806</v>
      </c>
      <c r="BR14" s="1">
        <f>(BR5-0.06674)/0.0466</f>
        <v>6.4025751072961361</v>
      </c>
      <c r="BS14" s="1">
        <f>(BS5-0.06674)/0.0466</f>
        <v>6.9476394849785414</v>
      </c>
      <c r="BT14" s="1">
        <f>(BT5-0.06674)/0.0466</f>
        <v>6.125751072961374</v>
      </c>
    </row>
    <row r="15" spans="1:98" x14ac:dyDescent="0.2">
      <c r="C15" s="1">
        <f>(C6-0.06674)/0.0466</f>
        <v>2.5849785407725321</v>
      </c>
      <c r="D15" s="1">
        <f>(D6-0.06674)/0.0466</f>
        <v>7.4433476394849798</v>
      </c>
      <c r="E15" s="1">
        <f>(E6-0.06674)/0.0466</f>
        <v>2.876824034334764</v>
      </c>
      <c r="F15" s="1">
        <f>(F6-0.06674)/0.0466</f>
        <v>2.7545064377682404</v>
      </c>
      <c r="G15" s="1">
        <f>(G6-0.06674)/0.0466</f>
        <v>1.9154506437768242</v>
      </c>
      <c r="H15" s="1">
        <f>(H6-0.06674)/0.0466</f>
        <v>1.6085836909871243</v>
      </c>
      <c r="I15" s="1">
        <f>(I6-0.06674)/0.0466</f>
        <v>3.0570815450643778</v>
      </c>
      <c r="J15" s="1">
        <f>(J6-0.06674)/0.0466</f>
        <v>3.1472103004291845</v>
      </c>
      <c r="K15" s="1">
        <f>(K6-0.06674)/0.0466</f>
        <v>3.5742489270386266</v>
      </c>
      <c r="L15" s="1">
        <f>(L6-0.06674)/0.0466</f>
        <v>3.0871244635193134</v>
      </c>
      <c r="M15" s="1"/>
      <c r="N15" s="1"/>
      <c r="O15" s="1">
        <f>(O6-0.06674)/0.0466</f>
        <v>2.1879828326180255</v>
      </c>
      <c r="P15" s="1">
        <f>(P6-0.06674)/0.0466</f>
        <v>5.6600858369098708</v>
      </c>
      <c r="Q15" s="1">
        <f>(Q6-0.06674)/0.0466</f>
        <v>3.1665236051502141</v>
      </c>
      <c r="R15" s="1">
        <f>(R6-0.06674)/0.0466</f>
        <v>2.6450643776824037</v>
      </c>
      <c r="S15" s="1">
        <f>(S6-0.06674)/0.0466</f>
        <v>2.2673819742489272</v>
      </c>
      <c r="T15" s="1">
        <f>(T6-0.06674)/0.0466</f>
        <v>2.6815450643776826</v>
      </c>
      <c r="U15" s="1">
        <f>(U6-0.06674)/0.0466</f>
        <v>2.7909871244635194</v>
      </c>
      <c r="V15" s="1">
        <f>(V6-0.06674)/0.0466</f>
        <v>3.1665236051502141</v>
      </c>
      <c r="W15" s="1">
        <f>(W6-0.06674)/0.0466</f>
        <v>3.1128755364806864</v>
      </c>
      <c r="X15" s="1">
        <f>(X6-0.06674)/0.0466</f>
        <v>2.769527896995708</v>
      </c>
      <c r="Y15" s="1"/>
      <c r="Z15" s="1"/>
      <c r="AA15" s="1">
        <f>(AA6-0.06674)/0.0466</f>
        <v>3.7716738197424893</v>
      </c>
      <c r="AB15" s="1">
        <f>(AB6-0.06674)/0.0466</f>
        <v>3.4390557939914164</v>
      </c>
      <c r="AC15" s="1">
        <f>(AC6-0.06674)/0.0466</f>
        <v>3.376824034334764</v>
      </c>
      <c r="AD15" s="1">
        <f>(AD6-0.06674)/0.0466</f>
        <v>2.8274678111587983</v>
      </c>
      <c r="AE15" s="1">
        <f>(AE6-0.06674)/0.0466</f>
        <v>3.7652360515021459</v>
      </c>
      <c r="AF15" s="1">
        <f>(AF6-0.06674)/0.0466</f>
        <v>2.4261802575107292</v>
      </c>
      <c r="AG15" s="1">
        <f>(AG6-0.06674)/0.0466</f>
        <v>3.0184549356223176</v>
      </c>
      <c r="AH15" s="1">
        <f>(AH6-0.06674)/0.0466</f>
        <v>3.2888412017167381</v>
      </c>
      <c r="AI15" s="1">
        <f>(AI6-0.06674)/0.0466</f>
        <v>3.3339055793991412</v>
      </c>
      <c r="AJ15" s="1">
        <f>(AJ6-0.06674)/0.0466</f>
        <v>3.4133047210300429</v>
      </c>
      <c r="AK15" s="1"/>
      <c r="AL15" s="1"/>
      <c r="AM15" s="1">
        <f>(AM6-0.06674)/0.0466</f>
        <v>5.2502145922746779</v>
      </c>
      <c r="AN15" s="1">
        <f>(AN6-0.06674)/0.0466</f>
        <v>6.7480686695278962</v>
      </c>
      <c r="AO15" s="1">
        <f>(AO6-0.06674)/0.0466</f>
        <v>7.1858369098712451</v>
      </c>
      <c r="AP15" s="1">
        <f>(AP6-0.06674)/0.0466</f>
        <v>4.943347639484978</v>
      </c>
      <c r="AQ15" s="1">
        <f>(AQ6-0.06674)/0.0466</f>
        <v>3.6751072961373388</v>
      </c>
      <c r="AR15" s="1">
        <f>(AR6-0.06674)/0.0466</f>
        <v>5.2459227467811154</v>
      </c>
      <c r="AS15" s="1">
        <f>(AS6-0.06674)/0.0466</f>
        <v>5.870386266094421</v>
      </c>
      <c r="AT15" s="1">
        <f>(AT6-0.06674)/0.0466</f>
        <v>5.7523605150214578</v>
      </c>
      <c r="AU15" s="1">
        <f>(AU6-0.06674)/0.0466</f>
        <v>6.7351931330472103</v>
      </c>
      <c r="AV15" s="1">
        <f>(AV6-0.06674)/0.0466</f>
        <v>5.9390557939914164</v>
      </c>
      <c r="AW15" s="1"/>
      <c r="AX15" s="1"/>
      <c r="AY15" s="1">
        <f>(AY6-0.06674)/0.0466</f>
        <v>6.7759656652360523</v>
      </c>
      <c r="AZ15" s="1">
        <f>(AZ6-0.06674)/0.0466</f>
        <v>8.5721030042918454</v>
      </c>
      <c r="BA15" s="1">
        <f>(BA6-0.06674)/0.0466</f>
        <v>6.4347639484978538</v>
      </c>
      <c r="BB15" s="1">
        <f>(BB6-0.06674)/0.0466</f>
        <v>4.4583690987124465</v>
      </c>
      <c r="BC15" s="1">
        <f>(BC6-0.06674)/0.0466</f>
        <v>3.2824034334763947</v>
      </c>
      <c r="BD15" s="1">
        <f>(BD6-0.06674)/0.0466</f>
        <v>4.7866952789699573</v>
      </c>
      <c r="BE15" s="1">
        <f>(BE6-0.06674)/0.0466</f>
        <v>5.4669527896995707</v>
      </c>
      <c r="BF15" s="1">
        <f>(BF6-0.06674)/0.0466</f>
        <v>5.4154506437768246</v>
      </c>
      <c r="BG15" s="1">
        <f>(BG6-0.06674)/0.0466</f>
        <v>6.6321888412017165</v>
      </c>
      <c r="BH15" s="1">
        <f>(BH6-0.06674)/0.0466</f>
        <v>5.6836909871244625</v>
      </c>
      <c r="BI15" s="1"/>
      <c r="BJ15" s="1"/>
      <c r="BK15" s="1">
        <f>(BK6-0.06674)/0.0466</f>
        <v>6.1214592274678097</v>
      </c>
      <c r="BL15" s="1">
        <f>(BL6-0.06674)/0.0466</f>
        <v>8.6665236051502141</v>
      </c>
      <c r="BM15" s="1">
        <f>(BM6-0.06674)/0.0466</f>
        <v>7.1042918454935622</v>
      </c>
      <c r="BN15" s="1">
        <f>(BN6-0.06674)/0.0466</f>
        <v>4.2716738197424888</v>
      </c>
      <c r="BO15" s="1">
        <f>(BO6-0.06674)/0.0466</f>
        <v>3.7115879828326177</v>
      </c>
      <c r="BP15" s="1">
        <f>(BP6-0.06674)/0.0466</f>
        <v>3.9776824034334761</v>
      </c>
      <c r="BQ15" s="1">
        <f>(BQ6-0.06674)/0.0466</f>
        <v>6.0484978540772527</v>
      </c>
      <c r="BR15" s="1">
        <f>(BR6-0.06674)/0.0466</f>
        <v>6.9304721030042922</v>
      </c>
      <c r="BS15" s="1">
        <f>(BS6-0.06674)/0.0466</f>
        <v>7.3210300429184549</v>
      </c>
      <c r="BT15" s="1">
        <f>(BT6-0.06674)/0.0466</f>
        <v>6.4798283261802574</v>
      </c>
    </row>
    <row r="16" spans="1:98" x14ac:dyDescent="0.2">
      <c r="C16" s="1">
        <f>(C7-0.06674)/0.0466</f>
        <v>2.5570815450643778</v>
      </c>
      <c r="D16" s="1">
        <f>(D7-0.06674)/0.0466</f>
        <v>7.5248927038626601</v>
      </c>
      <c r="E16" s="1">
        <f>(E7-0.06674)/0.0466</f>
        <v>2.8961373390557936</v>
      </c>
      <c r="F16" s="1">
        <f>(F7-0.06674)/0.0466</f>
        <v>2.8231759656652362</v>
      </c>
      <c r="G16" s="1">
        <f>(G7-0.06674)/0.0466</f>
        <v>1.9197424892703865</v>
      </c>
      <c r="H16" s="1">
        <f>(H7-0.06674)/0.0466</f>
        <v>1.6622317596566523</v>
      </c>
      <c r="I16" s="1">
        <f>(I7-0.06674)/0.0466</f>
        <v>3.0570815450643778</v>
      </c>
      <c r="J16" s="1">
        <f>(J7-0.06674)/0.0466</f>
        <v>3.1665236051502141</v>
      </c>
      <c r="K16" s="1">
        <f>(K7-0.06674)/0.0466</f>
        <v>3.5055793991416309</v>
      </c>
      <c r="L16" s="1">
        <f>(L7-0.06674)/0.0466</f>
        <v>3.1021459227467809</v>
      </c>
      <c r="M16" s="1"/>
      <c r="N16" s="1"/>
      <c r="O16" s="1">
        <f>(O7-0.06674)/0.0466</f>
        <v>2.3446351931330471</v>
      </c>
      <c r="P16" s="1">
        <f>(P7-0.06674)/0.0466</f>
        <v>5.411158798283263</v>
      </c>
      <c r="Q16" s="1">
        <f>(Q7-0.06674)/0.0466</f>
        <v>3.4304721030042917</v>
      </c>
      <c r="R16" s="1">
        <f>(R7-0.06674)/0.0466</f>
        <v>2.810300429184549</v>
      </c>
      <c r="S16" s="1">
        <f>(S7-0.06674)/0.0466</f>
        <v>2.4004291845493566</v>
      </c>
      <c r="T16" s="1">
        <f>(T7-0.06674)/0.0466</f>
        <v>2.7115879828326177</v>
      </c>
      <c r="U16" s="1">
        <f>(U7-0.06674)/0.0466</f>
        <v>2.7931330472103002</v>
      </c>
      <c r="V16" s="1">
        <f>(V7-0.06674)/0.0466</f>
        <v>3.1343347639484977</v>
      </c>
      <c r="W16" s="1">
        <f>(W7-0.06674)/0.0466</f>
        <v>3.1236051502145918</v>
      </c>
      <c r="X16" s="1">
        <f>(X7-0.06674)/0.0466</f>
        <v>2.6429184549356224</v>
      </c>
      <c r="Y16" s="1"/>
      <c r="Z16" s="1"/>
      <c r="AA16" s="1">
        <f>(AA7-0.06674)/0.0466</f>
        <v>3.4862660944206003</v>
      </c>
      <c r="AB16" s="1">
        <f>(AB7-0.06674)/0.0466</f>
        <v>3.5935622317596563</v>
      </c>
      <c r="AC16" s="1">
        <f>(AC7-0.06674)/0.0466</f>
        <v>3.4261802575107292</v>
      </c>
      <c r="AD16" s="1">
        <f>(AD7-0.06674)/0.0466</f>
        <v>2.7545064377682404</v>
      </c>
      <c r="AE16" s="1">
        <f>(AE7-0.06674)/0.0466</f>
        <v>4.1622317596566516</v>
      </c>
      <c r="AF16" s="1">
        <f>(AF7-0.06674)/0.0466</f>
        <v>2.5077253218884121</v>
      </c>
      <c r="AG16" s="1">
        <f>(AG7-0.06674)/0.0466</f>
        <v>3.243776824034335</v>
      </c>
      <c r="AH16" s="1">
        <f>(AH7-0.06674)/0.0466</f>
        <v>3.3296137339055791</v>
      </c>
      <c r="AI16" s="1">
        <f>(AI7-0.06674)/0.0466</f>
        <v>3.473390557939914</v>
      </c>
      <c r="AJ16" s="1">
        <f>(AJ7-0.06674)/0.0466</f>
        <v>3.6150214592274676</v>
      </c>
      <c r="AK16" s="1"/>
      <c r="AL16" s="1"/>
      <c r="AM16" s="1">
        <f>(AM7-0.06674)/0.0466</f>
        <v>5.516309012875535</v>
      </c>
      <c r="AN16" s="1">
        <f>(AN7-0.06674)/0.0466</f>
        <v>6.6107296137339056</v>
      </c>
      <c r="AO16" s="1">
        <f>(AO7-0.06674)/0.0466</f>
        <v>7.3510729613733901</v>
      </c>
      <c r="AP16" s="1">
        <f>(AP7-0.06674)/0.0466</f>
        <v>4.9562231759656656</v>
      </c>
      <c r="AQ16" s="1">
        <f>(AQ7-0.06674)/0.0466</f>
        <v>3.6622317596566525</v>
      </c>
      <c r="AR16" s="1">
        <f>(AR7-0.06674)/0.0466</f>
        <v>5.3682403433476402</v>
      </c>
      <c r="AS16" s="1">
        <f>(AS7-0.06674)/0.0466</f>
        <v>6.0141630901287542</v>
      </c>
      <c r="AT16" s="1">
        <f>(AT7-0.06674)/0.0466</f>
        <v>6.17725321888412</v>
      </c>
      <c r="AU16" s="1">
        <f>(AU7-0.06674)/0.0466</f>
        <v>7.3961373390557927</v>
      </c>
      <c r="AV16" s="1">
        <f>(AV7-0.06674)/0.0466</f>
        <v>6.0957081545064371</v>
      </c>
      <c r="AW16" s="1"/>
      <c r="AX16" s="1"/>
      <c r="AY16" s="1">
        <f>(AY7-0.06674)/0.0466</f>
        <v>6.5012875536480683</v>
      </c>
      <c r="AZ16" s="1">
        <f>(AZ7-0.06674)/0.0466</f>
        <v>8.5699570815450645</v>
      </c>
      <c r="BA16" s="1">
        <f>(BA7-0.06674)/0.0466</f>
        <v>6.5206008583690984</v>
      </c>
      <c r="BB16" s="1">
        <f>(BB7-0.06674)/0.0466</f>
        <v>4.5484978540772536</v>
      </c>
      <c r="BC16" s="1">
        <f>(BC7-0.06674)/0.0466</f>
        <v>3.2609442060085838</v>
      </c>
      <c r="BD16" s="1">
        <f>(BD7-0.06674)/0.0466</f>
        <v>4.8553648068669526</v>
      </c>
      <c r="BE16" s="1">
        <f>(BE7-0.06674)/0.0466</f>
        <v>5.7051502145922743</v>
      </c>
      <c r="BF16" s="1">
        <f>(BF7-0.06674)/0.0466</f>
        <v>5.7309012875536469</v>
      </c>
      <c r="BG16" s="1">
        <f>(BG7-0.06674)/0.0466</f>
        <v>7.106437768240343</v>
      </c>
      <c r="BH16" s="1">
        <f>(BH7-0.06674)/0.0466</f>
        <v>5.8017167381974257</v>
      </c>
      <c r="BI16" s="1"/>
      <c r="BJ16" s="1"/>
      <c r="BK16" s="1">
        <f>(BK7-0.06674)/0.0466</f>
        <v>5.8682403433476402</v>
      </c>
      <c r="BL16" s="1">
        <f>(BL7-0.06674)/0.0466</f>
        <v>8.7416309012875537</v>
      </c>
      <c r="BM16" s="1">
        <f>(BM7-0.06674)/0.0466</f>
        <v>6.9626609442060072</v>
      </c>
      <c r="BN16" s="1">
        <f>(BN7-0.06674)/0.0466</f>
        <v>4.2266094420600853</v>
      </c>
      <c r="BO16" s="1">
        <f>(BO7-0.06674)/0.0466</f>
        <v>3.7158798283261802</v>
      </c>
      <c r="BP16" s="1">
        <f>(BP7-0.06674)/0.0466</f>
        <v>4.166523605150215</v>
      </c>
      <c r="BQ16" s="1">
        <f>(BQ7-0.06674)/0.0466</f>
        <v>6.2137339055793994</v>
      </c>
      <c r="BR16" s="1">
        <f>(BR7-0.06674)/0.0466</f>
        <v>7.2330472103004295</v>
      </c>
      <c r="BS16" s="1">
        <f>(BS7-0.06674)/0.0466</f>
        <v>7.5141630901287559</v>
      </c>
      <c r="BT16" s="1">
        <f>(BT7-0.06674)/0.0466</f>
        <v>6.5141630901287559</v>
      </c>
    </row>
    <row r="17" spans="2:72" x14ac:dyDescent="0.2">
      <c r="C17" s="1">
        <f>(C8-0.06674)/0.0466</f>
        <v>2.5914163090128755</v>
      </c>
      <c r="D17" s="1">
        <f>(D8-0.06674)/0.0466</f>
        <v>6.8274678111587983</v>
      </c>
      <c r="E17" s="1">
        <f>(E8-0.06674)/0.0466</f>
        <v>2.9090128755364808</v>
      </c>
      <c r="F17" s="1">
        <f>(F8-0.06674)/0.0466</f>
        <v>2.8038626609442057</v>
      </c>
      <c r="G17" s="1">
        <f>(G8-0.06674)/0.0466</f>
        <v>1.9991416309012873</v>
      </c>
      <c r="H17" s="1">
        <f>(H8-0.06674)/0.0466</f>
        <v>1.6836909871244634</v>
      </c>
      <c r="I17" s="1">
        <f>(I8-0.06674)/0.0466</f>
        <v>3.0227467811158801</v>
      </c>
      <c r="J17" s="1">
        <f>(J8-0.06674)/0.0466</f>
        <v>3.0828326180257513</v>
      </c>
      <c r="K17" s="1">
        <f>(K8-0.06674)/0.0466</f>
        <v>3.3446351931330471</v>
      </c>
      <c r="L17" s="1">
        <f>(L8-0.06674)/0.0466</f>
        <v>3.0055793991416313</v>
      </c>
      <c r="M17" s="1"/>
      <c r="N17" s="1"/>
      <c r="O17" s="1">
        <f>(O8-0.06674)/0.0466</f>
        <v>2.3188841201716741</v>
      </c>
      <c r="P17" s="1">
        <f>(P8-0.06674)/0.0466</f>
        <v>3.9390557939914168</v>
      </c>
      <c r="Q17" s="1">
        <f>(Q8-0.06674)/0.0466</f>
        <v>3.5291845493562231</v>
      </c>
      <c r="R17" s="1">
        <f>(R8-0.06674)/0.0466</f>
        <v>2.8296137339055791</v>
      </c>
      <c r="S17" s="1">
        <f>(S8-0.06674)/0.0466</f>
        <v>2.4755364806866957</v>
      </c>
      <c r="T17" s="1">
        <f>(T8-0.06674)/0.0466</f>
        <v>2.9690987124463519</v>
      </c>
      <c r="U17" s="1">
        <f>(U8-0.06674)/0.0466</f>
        <v>2.67725321888412</v>
      </c>
      <c r="V17" s="1">
        <f>(V8-0.06674)/0.0466</f>
        <v>3.1557939914163087</v>
      </c>
      <c r="W17" s="1">
        <f>(W8-0.06674)/0.0466</f>
        <v>3.0356223175965664</v>
      </c>
      <c r="X17" s="1">
        <f>(X8-0.06674)/0.0466</f>
        <v>2.7201716738197428</v>
      </c>
      <c r="Y17" s="1"/>
      <c r="Z17" s="1"/>
      <c r="AA17" s="1">
        <f>(AA8-0.06674)/0.0466</f>
        <v>3.0699570815450641</v>
      </c>
      <c r="AB17" s="1">
        <f>(AB8-0.06674)/0.0466</f>
        <v>3.5420600858369098</v>
      </c>
      <c r="AC17" s="1">
        <f>(AC8-0.06674)/0.0466</f>
        <v>3.3167381974248924</v>
      </c>
      <c r="AD17" s="1">
        <f>(AD8-0.06674)/0.0466</f>
        <v>2.6429184549356224</v>
      </c>
      <c r="AE17" s="1">
        <f>(AE8-0.06674)/0.0466</f>
        <v>4.0356223175965669</v>
      </c>
      <c r="AF17" s="1">
        <f>(AF8-0.06674)/0.0466</f>
        <v>2.5206008583690989</v>
      </c>
      <c r="AG17" s="1">
        <f>(AG8-0.06674)/0.0466</f>
        <v>3.2566523605150213</v>
      </c>
      <c r="AH17" s="1">
        <f>(AH8-0.06674)/0.0466</f>
        <v>3.2673819742489272</v>
      </c>
      <c r="AI17" s="1">
        <f>(AI8-0.06674)/0.0466</f>
        <v>3.5356223175965669</v>
      </c>
      <c r="AJ17" s="1">
        <f>(AJ8-0.06674)/0.0466</f>
        <v>3.6193133047210297</v>
      </c>
      <c r="AK17" s="1"/>
      <c r="AL17" s="1"/>
      <c r="AM17" s="1">
        <f>(AM8-0.06674)/0.0466</f>
        <v>5.50343347639485</v>
      </c>
      <c r="AN17" s="1">
        <f>(AN8-0.06674)/0.0466</f>
        <v>6.138626609442059</v>
      </c>
      <c r="AO17" s="1">
        <f>(AO8-0.06674)/0.0466</f>
        <v>7.0721030042918445</v>
      </c>
      <c r="AP17" s="1">
        <f>(AP8-0.06674)/0.0466</f>
        <v>4.9240343347639488</v>
      </c>
      <c r="AQ17" s="1">
        <f>(AQ8-0.06674)/0.0466</f>
        <v>3.6793991416309013</v>
      </c>
      <c r="AR17" s="1">
        <f>(AR8-0.06674)/0.0466</f>
        <v>5.4197424892703863</v>
      </c>
      <c r="AS17" s="1">
        <f>(AS8-0.06674)/0.0466</f>
        <v>5.9540772532188848</v>
      </c>
      <c r="AT17" s="1">
        <f>(AT8-0.06674)/0.0466</f>
        <v>6.4648068669527889</v>
      </c>
      <c r="AU17" s="1">
        <f>(AU8-0.06674)/0.0466</f>
        <v>7.5721030042918445</v>
      </c>
      <c r="AV17" s="1">
        <f>(AV8-0.06674)/0.0466</f>
        <v>5.9326180257510739</v>
      </c>
      <c r="AW17" s="1"/>
      <c r="AX17" s="1"/>
      <c r="AY17" s="1">
        <f>(AY8-0.06674)/0.0466</f>
        <v>6.117167381974248</v>
      </c>
      <c r="AZ17" s="1">
        <f>(AZ8-0.06674)/0.0466</f>
        <v>7.7695278969957089</v>
      </c>
      <c r="BA17" s="1">
        <f>(BA8-0.06674)/0.0466</f>
        <v>6.33175965665236</v>
      </c>
      <c r="BB17" s="1">
        <f>(BB8-0.06674)/0.0466</f>
        <v>4.5291845493562226</v>
      </c>
      <c r="BC17" s="1">
        <f>(BC8-0.06674)/0.0466</f>
        <v>3.1793991416309013</v>
      </c>
      <c r="BD17" s="1">
        <f>(BD8-0.06674)/0.0466</f>
        <v>4.9497854077253214</v>
      </c>
      <c r="BE17" s="1">
        <f>(BE8-0.06674)/0.0466</f>
        <v>5.8982832618025745</v>
      </c>
      <c r="BF17" s="1">
        <f>(BF8-0.06674)/0.0466</f>
        <v>5.9540772532188848</v>
      </c>
      <c r="BG17" s="1">
        <f>(BG8-0.06674)/0.0466</f>
        <v>7.2523605150214596</v>
      </c>
      <c r="BH17" s="1">
        <f>(BH8-0.06674)/0.0466</f>
        <v>5.7008583690987127</v>
      </c>
      <c r="BI17" s="1"/>
      <c r="BJ17" s="1"/>
      <c r="BK17" s="1">
        <f>(BK8-0.06674)/0.0466</f>
        <v>5.3660944206008594</v>
      </c>
      <c r="BL17" s="1">
        <f>(BL8-0.06674)/0.0466</f>
        <v>7.9648068669527898</v>
      </c>
      <c r="BM17" s="1">
        <f>(BM8-0.06674)/0.0466</f>
        <v>6.7416309012875528</v>
      </c>
      <c r="BN17" s="1">
        <f>(BN8-0.06674)/0.0466</f>
        <v>3.9562231759656648</v>
      </c>
      <c r="BO17" s="1">
        <f>(BO8-0.06674)/0.0466</f>
        <v>3.7287553648068665</v>
      </c>
      <c r="BP17" s="1">
        <f>(BP8-0.06674)/0.0466</f>
        <v>4.2351931330472103</v>
      </c>
      <c r="BQ17" s="1">
        <f>(BQ8-0.06674)/0.0466</f>
        <v>6.2030042918454926</v>
      </c>
      <c r="BR17" s="1">
        <f>(BR8-0.06674)/0.0466</f>
        <v>7.3789699570815461</v>
      </c>
      <c r="BS17" s="1">
        <f>(BS8-0.06674)/0.0466</f>
        <v>7.5635193133047203</v>
      </c>
      <c r="BT17" s="1">
        <f>(BT8-0.06674)/0.0466</f>
        <v>6.2802575107296139</v>
      </c>
    </row>
    <row r="18" spans="2:72" x14ac:dyDescent="0.2">
      <c r="B18" t="s">
        <v>108</v>
      </c>
    </row>
    <row r="19" spans="2:72" x14ac:dyDescent="0.2">
      <c r="C19" s="1">
        <f>AVERAGE(C13:C17)</f>
        <v>2.6120171673819739</v>
      </c>
      <c r="D19" s="1">
        <f>AVERAGE(D13:D17)</f>
        <v>6.6781115879828317</v>
      </c>
      <c r="E19" s="1">
        <f>AVERAGE(E13:E17)</f>
        <v>2.8562231759656651</v>
      </c>
      <c r="F19" s="1">
        <f>AVERAGE(F13:F17)</f>
        <v>2.6884120171673822</v>
      </c>
      <c r="G19" s="1">
        <f>AVERAGE(G13:G17)</f>
        <v>1.9493562231759658</v>
      </c>
      <c r="H19" s="1">
        <f>AVERAGE(H13:H17)</f>
        <v>1.5892703862660942</v>
      </c>
      <c r="I19" s="1">
        <f>AVERAGE(I13:I17)</f>
        <v>2.9802575107296136</v>
      </c>
      <c r="J19" s="1">
        <f>AVERAGE(J13:J17)</f>
        <v>3.0506437768240344</v>
      </c>
      <c r="K19" s="1">
        <f>AVERAGE(K13:K17)</f>
        <v>3.3776824034334765</v>
      </c>
      <c r="L19" s="1">
        <f>AVERAGE(L13:L17)</f>
        <v>2.9746781115879828</v>
      </c>
      <c r="M19" s="1"/>
      <c r="N19" s="1"/>
      <c r="O19" s="1">
        <f>AVERAGE(O13:O17)</f>
        <v>2.07725321888412</v>
      </c>
      <c r="P19" s="1">
        <f>AVERAGE(P13:P17)</f>
        <v>4.7416309012875546</v>
      </c>
      <c r="Q19" s="1">
        <f>AVERAGE(Q13:Q17)</f>
        <v>3.1768240343347638</v>
      </c>
      <c r="R19" s="1">
        <f>AVERAGE(R13:R17)</f>
        <v>2.6283261802575106</v>
      </c>
      <c r="S19" s="1">
        <f>AVERAGE(S13:S17)</f>
        <v>2.2618025751072963</v>
      </c>
      <c r="T19" s="1">
        <f>AVERAGE(T13:T17)</f>
        <v>2.7111587982832619</v>
      </c>
      <c r="U19" s="1">
        <f>AVERAGE(U13:U17)</f>
        <v>2.7278969957081545</v>
      </c>
      <c r="V19" s="1">
        <f>AVERAGE(V13:V17)</f>
        <v>3.0575107296137336</v>
      </c>
      <c r="W19" s="1">
        <f>AVERAGE(W13:W17)</f>
        <v>3.0064377682403434</v>
      </c>
      <c r="X19" s="1">
        <f>AVERAGE(X13:X17)</f>
        <v>2.7175965665236048</v>
      </c>
      <c r="Y19" s="1"/>
      <c r="Z19" s="1"/>
      <c r="AA19" s="1">
        <f>AVERAGE(AA13:AA17)</f>
        <v>3.50901287553648</v>
      </c>
      <c r="AB19" s="1">
        <f>AVERAGE(AB13:AB17)</f>
        <v>3.3373390557939913</v>
      </c>
      <c r="AC19" s="1">
        <f>AVERAGE(AC13:AC17)</f>
        <v>3.3416309012875538</v>
      </c>
      <c r="AD19" s="1">
        <f>AVERAGE(AD13:AD17)</f>
        <v>2.7832618025751072</v>
      </c>
      <c r="AE19" s="1">
        <f>AVERAGE(AE13:AE17)</f>
        <v>3.430901287553648</v>
      </c>
      <c r="AF19" s="1">
        <f>AVERAGE(AF13:AF17)</f>
        <v>2.33519313304721</v>
      </c>
      <c r="AG19" s="1">
        <f>AVERAGE(AG13:AG17)</f>
        <v>2.9051502145922745</v>
      </c>
      <c r="AH19" s="1">
        <f>AVERAGE(AH13:AH17)</f>
        <v>3.2330472103004291</v>
      </c>
      <c r="AI19" s="1">
        <f>AVERAGE(AI13:AI17)</f>
        <v>3.2789699570815452</v>
      </c>
      <c r="AJ19" s="1">
        <f>AVERAGE(AJ13:AJ17)</f>
        <v>3.3154506437768241</v>
      </c>
      <c r="AK19" s="1"/>
      <c r="AL19" s="1"/>
      <c r="AM19" s="1">
        <f>AVERAGE(AM13:AM17)</f>
        <v>5.1094420600858363</v>
      </c>
      <c r="AN19" s="1">
        <f>AVERAGE(AN13:AN17)</f>
        <v>6.4815450643776815</v>
      </c>
      <c r="AO19" s="1">
        <f>AVERAGE(AO13:AO17)</f>
        <v>6.9557939914163089</v>
      </c>
      <c r="AP19" s="1">
        <f>AVERAGE(AP13:AP17)</f>
        <v>4.8055793991416307</v>
      </c>
      <c r="AQ19" s="1">
        <f>AVERAGE(AQ13:AQ17)</f>
        <v>3.6163090128755364</v>
      </c>
      <c r="AR19" s="1">
        <f>AVERAGE(AR13:AR17)</f>
        <v>5.1841201716738201</v>
      </c>
      <c r="AS19" s="1">
        <f>AVERAGE(AS13:AS17)</f>
        <v>5.7579399141630905</v>
      </c>
      <c r="AT19" s="1">
        <f>AVERAGE(AT13:AT17)</f>
        <v>5.7283261802575103</v>
      </c>
      <c r="AU19" s="1">
        <f>AVERAGE(AU13:AU17)</f>
        <v>6.5871244635193138</v>
      </c>
      <c r="AV19" s="1">
        <f>AVERAGE(AV13:AV17)</f>
        <v>5.7871244635193122</v>
      </c>
      <c r="AW19" s="1"/>
      <c r="AX19" s="1"/>
      <c r="AY19" s="1">
        <f>AVERAGE(AY13:AY17)</f>
        <v>6.4712446351931332</v>
      </c>
      <c r="AZ19" s="1">
        <f>AVERAGE(AZ13:AZ17)</f>
        <v>7.8051502145922758</v>
      </c>
      <c r="BA19" s="1">
        <f>AVERAGE(BA13:BA17)</f>
        <v>6.2399141630901287</v>
      </c>
      <c r="BB19" s="1">
        <f>AVERAGE(BB13:BB17)</f>
        <v>4.3412017167381975</v>
      </c>
      <c r="BC19" s="1">
        <f>AVERAGE(BC13:BC17)</f>
        <v>3.1854077253218884</v>
      </c>
      <c r="BD19" s="1">
        <f>AVERAGE(BD13:BD17)</f>
        <v>4.7047210300429185</v>
      </c>
      <c r="BE19" s="1">
        <f>AVERAGE(BE13:BE17)</f>
        <v>5.4240343347639479</v>
      </c>
      <c r="BF19" s="1">
        <f>AVERAGE(BF13:BF17)</f>
        <v>5.4278969957081546</v>
      </c>
      <c r="BG19" s="1">
        <f>AVERAGE(BG13:BG17)</f>
        <v>6.556652360515022</v>
      </c>
      <c r="BH19" s="1">
        <f>AVERAGE(BH13:BH17)</f>
        <v>5.5489270386266103</v>
      </c>
      <c r="BI19" s="1"/>
      <c r="BJ19" s="1"/>
      <c r="BK19" s="1">
        <f>AVERAGE(BK13:BK17)</f>
        <v>5.8605150214592276</v>
      </c>
      <c r="BL19" s="1">
        <f>AVERAGE(BL13:BL17)</f>
        <v>8.0557939914163104</v>
      </c>
      <c r="BM19" s="1">
        <f>AVERAGE(BM13:BM17)</f>
        <v>6.9270386266094421</v>
      </c>
      <c r="BN19" s="1">
        <f>AVERAGE(BN13:BN17)</f>
        <v>4.1854077253218884</v>
      </c>
      <c r="BO19" s="1">
        <f>AVERAGE(BO13:BO17)</f>
        <v>3.6497854077253216</v>
      </c>
      <c r="BP19" s="1">
        <f t="shared" ref="BP19:BT19" si="0">AVERAGE(BP13:BP17)</f>
        <v>3.9347639484978543</v>
      </c>
      <c r="BQ19" s="1">
        <f t="shared" si="0"/>
        <v>5.9510729613733897</v>
      </c>
      <c r="BR19" s="1">
        <f t="shared" si="0"/>
        <v>6.8047210300429182</v>
      </c>
      <c r="BS19" s="1">
        <f t="shared" si="0"/>
        <v>7.1613733905579409</v>
      </c>
      <c r="BT19" s="1">
        <f t="shared" si="0"/>
        <v>6.2210300429184544</v>
      </c>
    </row>
    <row r="20" spans="2:72" x14ac:dyDescent="0.2">
      <c r="B20" t="s">
        <v>109</v>
      </c>
      <c r="M20" t="s">
        <v>110</v>
      </c>
    </row>
    <row r="21" spans="2:72" x14ac:dyDescent="0.2">
      <c r="B21" t="s">
        <v>111</v>
      </c>
      <c r="C21" s="1">
        <f>AVERAGE(C13:C17)</f>
        <v>2.6120171673819739</v>
      </c>
      <c r="D21" s="1">
        <f>AVERAGE(D13:D17)</f>
        <v>6.6781115879828317</v>
      </c>
      <c r="E21" s="1">
        <f>AVERAGE(E13:E17)</f>
        <v>2.8562231759656651</v>
      </c>
      <c r="F21" s="1">
        <f>AVERAGE(F13:F17)</f>
        <v>2.6884120171673822</v>
      </c>
      <c r="G21" s="1">
        <f>AVERAGE(G13:G17)</f>
        <v>1.9493562231759658</v>
      </c>
      <c r="H21" s="1">
        <f>AVERAGE(H13:H17)</f>
        <v>1.5892703862660942</v>
      </c>
      <c r="I21" s="1">
        <f>AVERAGE(I13:I17)</f>
        <v>2.9802575107296136</v>
      </c>
      <c r="J21" s="1">
        <f>AVERAGE(J13:J17)</f>
        <v>3.0506437768240344</v>
      </c>
      <c r="K21" s="1">
        <f>AVERAGE(K13:K17)</f>
        <v>3.3776824034334765</v>
      </c>
      <c r="L21" s="1">
        <f>AVERAGE(L13:L17)</f>
        <v>2.9746781115879828</v>
      </c>
      <c r="M21" t="s">
        <v>112</v>
      </c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72" x14ac:dyDescent="0.2">
      <c r="B22" t="s">
        <v>113</v>
      </c>
      <c r="C22" s="1">
        <f>AVERAGE(O13:O17)</f>
        <v>2.07725321888412</v>
      </c>
      <c r="D22" s="1">
        <f>AVERAGE(P13:P17)</f>
        <v>4.7416309012875546</v>
      </c>
      <c r="E22" s="1">
        <f>AVERAGE(Q13:Q17)</f>
        <v>3.1768240343347638</v>
      </c>
      <c r="F22" s="1">
        <f>AVERAGE(R13:R17)</f>
        <v>2.6283261802575106</v>
      </c>
      <c r="G22" s="1">
        <f>AVERAGE(S13:S17)</f>
        <v>2.2618025751072963</v>
      </c>
      <c r="H22" s="1">
        <f>AVERAGE(T13:T17)</f>
        <v>2.7111587982832619</v>
      </c>
      <c r="I22" s="1">
        <f>AVERAGE(U13:U17)</f>
        <v>2.7278969957081545</v>
      </c>
      <c r="J22" s="1">
        <f>AVERAGE(V13:V17)</f>
        <v>3.0575107296137336</v>
      </c>
      <c r="K22" s="1">
        <f>AVERAGE(W13:W17)</f>
        <v>3.0064377682403434</v>
      </c>
      <c r="L22" s="1">
        <f>AVERAGE(X13:X17)</f>
        <v>2.7175965665236048</v>
      </c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72" x14ac:dyDescent="0.2">
      <c r="B23" t="s">
        <v>114</v>
      </c>
      <c r="C23" s="1">
        <f>AVERAGE(AA13:AA17)</f>
        <v>3.50901287553648</v>
      </c>
      <c r="D23" s="1">
        <f t="shared" ref="D23:L23" si="1">AVERAGE(AB13:AB17)</f>
        <v>3.3373390557939913</v>
      </c>
      <c r="E23" s="1">
        <f t="shared" si="1"/>
        <v>3.3416309012875538</v>
      </c>
      <c r="F23" s="1">
        <f t="shared" si="1"/>
        <v>2.7832618025751072</v>
      </c>
      <c r="G23" s="1">
        <f t="shared" si="1"/>
        <v>3.430901287553648</v>
      </c>
      <c r="H23" s="1">
        <f t="shared" si="1"/>
        <v>2.33519313304721</v>
      </c>
      <c r="I23" s="1">
        <f t="shared" si="1"/>
        <v>2.9051502145922745</v>
      </c>
      <c r="J23" s="1">
        <f t="shared" si="1"/>
        <v>3.2330472103004291</v>
      </c>
      <c r="K23" s="1">
        <f t="shared" si="1"/>
        <v>3.2789699570815452</v>
      </c>
      <c r="L23" s="1">
        <f t="shared" si="1"/>
        <v>3.3154506437768241</v>
      </c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2:72" x14ac:dyDescent="0.2">
      <c r="B24" t="s">
        <v>115</v>
      </c>
      <c r="C24" s="1">
        <f>AVERAGE(AM13:AM17)</f>
        <v>5.1094420600858363</v>
      </c>
      <c r="D24" s="1">
        <f t="shared" ref="D24:L24" si="2">AVERAGE(AN13:AN17)</f>
        <v>6.4815450643776815</v>
      </c>
      <c r="E24" s="1">
        <f t="shared" si="2"/>
        <v>6.9557939914163089</v>
      </c>
      <c r="F24" s="1">
        <f t="shared" si="2"/>
        <v>4.8055793991416307</v>
      </c>
      <c r="G24" s="1">
        <f t="shared" si="2"/>
        <v>3.6163090128755364</v>
      </c>
      <c r="H24" s="1">
        <f t="shared" si="2"/>
        <v>5.1841201716738201</v>
      </c>
      <c r="I24" s="1">
        <f t="shared" si="2"/>
        <v>5.7579399141630905</v>
      </c>
      <c r="J24" s="1">
        <f t="shared" si="2"/>
        <v>5.7283261802575103</v>
      </c>
      <c r="K24" s="1">
        <f t="shared" si="2"/>
        <v>6.5871244635193138</v>
      </c>
      <c r="L24" s="1">
        <f t="shared" si="2"/>
        <v>5.7871244635193122</v>
      </c>
      <c r="M24" t="s">
        <v>116</v>
      </c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2:72" x14ac:dyDescent="0.2">
      <c r="B25" t="s">
        <v>117</v>
      </c>
      <c r="C25" s="1">
        <f>AVERAGE(AY13:AY17)</f>
        <v>6.4712446351931332</v>
      </c>
      <c r="D25" s="1">
        <f t="shared" ref="D25:L25" si="3">AVERAGE(AZ13:AZ17)</f>
        <v>7.8051502145922758</v>
      </c>
      <c r="E25" s="1">
        <f t="shared" si="3"/>
        <v>6.2399141630901287</v>
      </c>
      <c r="F25" s="1">
        <f t="shared" si="3"/>
        <v>4.3412017167381975</v>
      </c>
      <c r="G25" s="1">
        <f t="shared" si="3"/>
        <v>3.1854077253218884</v>
      </c>
      <c r="H25" s="1">
        <f t="shared" si="3"/>
        <v>4.7047210300429185</v>
      </c>
      <c r="I25" s="1">
        <f t="shared" si="3"/>
        <v>5.4240343347639479</v>
      </c>
      <c r="J25" s="1">
        <f t="shared" si="3"/>
        <v>5.4278969957081546</v>
      </c>
      <c r="K25" s="1">
        <f t="shared" si="3"/>
        <v>6.556652360515022</v>
      </c>
      <c r="L25" s="1">
        <f t="shared" si="3"/>
        <v>5.5489270386266103</v>
      </c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2:72" x14ac:dyDescent="0.2">
      <c r="B26" t="s">
        <v>118</v>
      </c>
      <c r="C26" s="1">
        <f>AVERAGE(BK13:BK17)</f>
        <v>5.8605150214592276</v>
      </c>
      <c r="D26" s="1">
        <f t="shared" ref="D26:L26" si="4">AVERAGE(BL13:BL17)</f>
        <v>8.0557939914163104</v>
      </c>
      <c r="E26" s="1">
        <f t="shared" si="4"/>
        <v>6.9270386266094421</v>
      </c>
      <c r="F26" s="1">
        <f t="shared" si="4"/>
        <v>4.1854077253218884</v>
      </c>
      <c r="G26" s="1">
        <f t="shared" si="4"/>
        <v>3.6497854077253216</v>
      </c>
      <c r="H26" s="1">
        <f t="shared" si="4"/>
        <v>3.9347639484978543</v>
      </c>
      <c r="I26" s="1">
        <f t="shared" si="4"/>
        <v>5.9510729613733897</v>
      </c>
      <c r="J26" s="1">
        <f t="shared" si="4"/>
        <v>6.8047210300429182</v>
      </c>
      <c r="K26" s="1">
        <f t="shared" si="4"/>
        <v>7.1613733905579409</v>
      </c>
      <c r="L26" s="1">
        <f t="shared" si="4"/>
        <v>6.2210300429184544</v>
      </c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72" x14ac:dyDescent="0.2"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</row>
    <row r="28" spans="2:72" x14ac:dyDescent="0.2">
      <c r="C28" t="s">
        <v>119</v>
      </c>
      <c r="H28" t="s">
        <v>120</v>
      </c>
    </row>
    <row r="29" spans="2:72" x14ac:dyDescent="0.2">
      <c r="B29" t="s">
        <v>121</v>
      </c>
    </row>
    <row r="30" spans="2:72" x14ac:dyDescent="0.2">
      <c r="C30" s="1">
        <f>AVERAGE(C21:C23)</f>
        <v>2.7327610872675243</v>
      </c>
      <c r="D30" s="1">
        <f>AVERAGE(D21:D23)</f>
        <v>4.9190271816881266</v>
      </c>
      <c r="E30" s="1">
        <f>AVERAGE(E21:E23)</f>
        <v>3.124892703862661</v>
      </c>
      <c r="F30" s="1">
        <f>AVERAGE(F21:F23)</f>
        <v>2.7000000000000006</v>
      </c>
      <c r="G30" s="1">
        <f>AVERAGE(G21:G23)</f>
        <v>2.5473533619456368</v>
      </c>
      <c r="H30" s="1">
        <f>AVERAGE(H21:H23)</f>
        <v>2.211874105865522</v>
      </c>
      <c r="I30" s="1">
        <f>AVERAGE(I21:I23)</f>
        <v>2.8711015736766812</v>
      </c>
      <c r="J30" s="1">
        <f>AVERAGE(J21:J23)</f>
        <v>3.1137339055793993</v>
      </c>
      <c r="K30" s="1">
        <f>AVERAGE(K21:K23)</f>
        <v>3.2210300429184548</v>
      </c>
      <c r="L30" s="1">
        <f>AVERAGE(L21:L23)</f>
        <v>3.0025751072961371</v>
      </c>
      <c r="M30" t="s">
        <v>112</v>
      </c>
    </row>
    <row r="31" spans="2:72" x14ac:dyDescent="0.2">
      <c r="C31">
        <f>STDEV(C21:C23)</f>
        <v>0.72347650220744497</v>
      </c>
      <c r="D31">
        <f t="shared" ref="D31:L31" si="5">STDEV(D21:D23)</f>
        <v>1.6774362456385106</v>
      </c>
      <c r="E31">
        <f t="shared" si="5"/>
        <v>0.24683559764344085</v>
      </c>
      <c r="F31">
        <f t="shared" si="5"/>
        <v>7.8115125138042377E-2</v>
      </c>
      <c r="G31">
        <f t="shared" si="5"/>
        <v>0.78095991148295496</v>
      </c>
      <c r="H31">
        <f t="shared" si="5"/>
        <v>0.57102021777112111</v>
      </c>
      <c r="I31">
        <f t="shared" si="5"/>
        <v>0.12957985895432711</v>
      </c>
      <c r="J31">
        <f t="shared" si="5"/>
        <v>0.10338538229722816</v>
      </c>
      <c r="K31">
        <f t="shared" si="5"/>
        <v>0.19228473686135442</v>
      </c>
      <c r="L31">
        <f t="shared" si="5"/>
        <v>0.29990174424172689</v>
      </c>
      <c r="M31" t="s">
        <v>123</v>
      </c>
    </row>
    <row r="32" spans="2:72" x14ac:dyDescent="0.2">
      <c r="C32" s="1">
        <f>AVERAGE(C24:C26)</f>
        <v>5.8137339055794</v>
      </c>
      <c r="D32" s="1">
        <f>AVERAGE(D24:D26)</f>
        <v>7.4474964234620886</v>
      </c>
      <c r="E32" s="1">
        <f>AVERAGE(E24:E26)</f>
        <v>6.7075822603719599</v>
      </c>
      <c r="F32" s="1">
        <f>AVERAGE(F24:F26)</f>
        <v>4.4440629470672386</v>
      </c>
      <c r="G32" s="1">
        <f>AVERAGE(G24:G26)</f>
        <v>3.4838340486409152</v>
      </c>
      <c r="H32" s="1">
        <f>AVERAGE(H24:H26)</f>
        <v>4.6078683834048642</v>
      </c>
      <c r="I32" s="1">
        <f>AVERAGE(I24:I26)</f>
        <v>5.7110157367668082</v>
      </c>
      <c r="J32" s="1">
        <f>AVERAGE(J24:J26)</f>
        <v>5.9869814020028613</v>
      </c>
      <c r="K32" s="1">
        <f>AVERAGE(K24:K26)</f>
        <v>6.7683834048640925</v>
      </c>
      <c r="L32" s="1">
        <f>AVERAGE(L24:L26)</f>
        <v>5.8523605150214593</v>
      </c>
      <c r="M32" t="s">
        <v>122</v>
      </c>
    </row>
    <row r="33" spans="3:13" x14ac:dyDescent="0.2">
      <c r="C33" s="2">
        <f>STDEV(C24:C26)</f>
        <v>0.68210550356556843</v>
      </c>
      <c r="D33" s="2">
        <f>STDEV(D24:D26)</f>
        <v>0.84587357022365639</v>
      </c>
      <c r="E33" s="2">
        <f>STDEV(E24:E26)</f>
        <v>0.40526757168900185</v>
      </c>
      <c r="F33" s="2">
        <f>STDEV(F24:F26)</f>
        <v>0.32262757287730115</v>
      </c>
      <c r="G33" s="2">
        <f>STDEV(G24:G26)</f>
        <v>0.25898623532983184</v>
      </c>
      <c r="H33" s="2">
        <f>STDEV(H24:H26)</f>
        <v>0.63028411805131568</v>
      </c>
      <c r="I33" s="2">
        <f>STDEV(I24:I26)</f>
        <v>0.26663427630901076</v>
      </c>
      <c r="J33" s="2">
        <f>STDEV(J24:J26)</f>
        <v>0.7239392227131819</v>
      </c>
      <c r="K33" s="2">
        <f>STDEV(K24:K26)</f>
        <v>0.34068017833022596</v>
      </c>
      <c r="L33" s="2">
        <f>STDEV(L24:L26)</f>
        <v>0.34076739707052922</v>
      </c>
      <c r="M33" t="s">
        <v>123</v>
      </c>
    </row>
  </sheetData>
  <conditionalFormatting sqref="C21:L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260122_rom_24plates_2_pombe_bea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Ramos Báez</dc:creator>
  <cp:lastModifiedBy>Román Ramos Báez</cp:lastModifiedBy>
  <dcterms:created xsi:type="dcterms:W3CDTF">2026-01-23T17:12:26Z</dcterms:created>
  <dcterms:modified xsi:type="dcterms:W3CDTF">2026-02-16T06:07:18Z</dcterms:modified>
</cp:coreProperties>
</file>