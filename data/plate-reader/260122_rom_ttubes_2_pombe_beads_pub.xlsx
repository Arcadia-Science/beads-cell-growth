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Beads Paper/"/>
    </mc:Choice>
  </mc:AlternateContent>
  <xr:revisionPtr revIDLastSave="0" documentId="13_ncr:1_{CC04A2F2-7C96-304D-A975-2E67E7841F02}" xr6:coauthVersionLast="47" xr6:coauthVersionMax="47" xr10:uidLastSave="{00000000-0000-0000-0000-000000000000}"/>
  <bookViews>
    <workbookView xWindow="0" yWindow="600" windowWidth="28800" windowHeight="15620" xr2:uid="{90C10976-23E8-4F46-9688-5046FFC8B7FD}"/>
  </bookViews>
  <sheets>
    <sheet name="260122_rom_ttubes_2_pombe_b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3" i="1"/>
  <c r="E33" i="1"/>
  <c r="F33" i="1"/>
  <c r="G33" i="1"/>
  <c r="H33" i="1"/>
  <c r="I33" i="1"/>
  <c r="J33" i="1"/>
  <c r="K33" i="1"/>
  <c r="L33" i="1"/>
  <c r="C33" i="1"/>
  <c r="D31" i="1"/>
  <c r="E31" i="1"/>
  <c r="F31" i="1"/>
  <c r="G31" i="1"/>
  <c r="H31" i="1"/>
  <c r="I31" i="1"/>
  <c r="J31" i="1"/>
  <c r="K31" i="1"/>
  <c r="L31" i="1"/>
  <c r="F23" i="1"/>
  <c r="K23" i="1"/>
  <c r="L26" i="1"/>
  <c r="AH19" i="1"/>
  <c r="AR19" i="1"/>
  <c r="AZ19" i="1"/>
  <c r="BT19" i="1"/>
  <c r="AA13" i="1"/>
  <c r="C23" i="1" s="1"/>
  <c r="AB13" i="1"/>
  <c r="D23" i="1" s="1"/>
  <c r="AC13" i="1"/>
  <c r="AD13" i="1"/>
  <c r="AE13" i="1"/>
  <c r="AF13" i="1"/>
  <c r="AG13" i="1"/>
  <c r="AG19" i="1" s="1"/>
  <c r="AH13" i="1"/>
  <c r="AI13" i="1"/>
  <c r="AJ13" i="1"/>
  <c r="AM13" i="1"/>
  <c r="AN13" i="1"/>
  <c r="AO13" i="1"/>
  <c r="AP13" i="1"/>
  <c r="AQ13" i="1"/>
  <c r="AQ19" i="1" s="1"/>
  <c r="AR13" i="1"/>
  <c r="AS13" i="1"/>
  <c r="AT13" i="1"/>
  <c r="AU13" i="1"/>
  <c r="AV13" i="1"/>
  <c r="AY13" i="1"/>
  <c r="AZ13" i="1"/>
  <c r="D25" i="1" s="1"/>
  <c r="BA13" i="1"/>
  <c r="BA19" i="1" s="1"/>
  <c r="BB13" i="1"/>
  <c r="BC13" i="1"/>
  <c r="BD13" i="1"/>
  <c r="BE13" i="1"/>
  <c r="BF13" i="1"/>
  <c r="BG13" i="1"/>
  <c r="BH13" i="1"/>
  <c r="BH19" i="1" s="1"/>
  <c r="BK13" i="1"/>
  <c r="BK19" i="1" s="1"/>
  <c r="BL13" i="1"/>
  <c r="D26" i="1" s="1"/>
  <c r="BM13" i="1"/>
  <c r="BN13" i="1"/>
  <c r="BO13" i="1"/>
  <c r="BP13" i="1"/>
  <c r="BQ13" i="1"/>
  <c r="BR13" i="1"/>
  <c r="J26" i="1" s="1"/>
  <c r="BS13" i="1"/>
  <c r="K26" i="1" s="1"/>
  <c r="BT13" i="1"/>
  <c r="AA14" i="1"/>
  <c r="AB14" i="1"/>
  <c r="AC14" i="1"/>
  <c r="AD14" i="1"/>
  <c r="AE14" i="1"/>
  <c r="AF14" i="1"/>
  <c r="AG14" i="1"/>
  <c r="AH14" i="1"/>
  <c r="AI14" i="1"/>
  <c r="AJ14" i="1"/>
  <c r="AM14" i="1"/>
  <c r="AN14" i="1"/>
  <c r="AO14" i="1"/>
  <c r="AP14" i="1"/>
  <c r="AQ14" i="1"/>
  <c r="AR14" i="1"/>
  <c r="AS14" i="1"/>
  <c r="AT14" i="1"/>
  <c r="AU14" i="1"/>
  <c r="AV14" i="1"/>
  <c r="AY14" i="1"/>
  <c r="AZ14" i="1"/>
  <c r="BA14" i="1"/>
  <c r="BB14" i="1"/>
  <c r="BC14" i="1"/>
  <c r="BD14" i="1"/>
  <c r="BE14" i="1"/>
  <c r="BF14" i="1"/>
  <c r="BG14" i="1"/>
  <c r="BH14" i="1"/>
  <c r="BK14" i="1"/>
  <c r="BL14" i="1"/>
  <c r="BM14" i="1"/>
  <c r="BN14" i="1"/>
  <c r="BO14" i="1"/>
  <c r="BP14" i="1"/>
  <c r="BQ14" i="1"/>
  <c r="BR14" i="1"/>
  <c r="BS14" i="1"/>
  <c r="BT14" i="1"/>
  <c r="AA15" i="1"/>
  <c r="AB15" i="1"/>
  <c r="AC15" i="1"/>
  <c r="AD15" i="1"/>
  <c r="AE15" i="1"/>
  <c r="AF15" i="1"/>
  <c r="AG15" i="1"/>
  <c r="AH15" i="1"/>
  <c r="AI15" i="1"/>
  <c r="AJ15" i="1"/>
  <c r="AM15" i="1"/>
  <c r="AN15" i="1"/>
  <c r="AO15" i="1"/>
  <c r="AP15" i="1"/>
  <c r="AQ15" i="1"/>
  <c r="AR15" i="1"/>
  <c r="AS15" i="1"/>
  <c r="AT15" i="1"/>
  <c r="AU15" i="1"/>
  <c r="AV15" i="1"/>
  <c r="AY15" i="1"/>
  <c r="AZ15" i="1"/>
  <c r="BA15" i="1"/>
  <c r="BB15" i="1"/>
  <c r="BC15" i="1"/>
  <c r="BD15" i="1"/>
  <c r="BE15" i="1"/>
  <c r="BF15" i="1"/>
  <c r="BG15" i="1"/>
  <c r="BH15" i="1"/>
  <c r="BK15" i="1"/>
  <c r="BL15" i="1"/>
  <c r="BM15" i="1"/>
  <c r="BN15" i="1"/>
  <c r="BO15" i="1"/>
  <c r="BP15" i="1"/>
  <c r="BQ15" i="1"/>
  <c r="BR15" i="1"/>
  <c r="BS15" i="1"/>
  <c r="BT15" i="1"/>
  <c r="AA16" i="1"/>
  <c r="AB16" i="1"/>
  <c r="AC16" i="1"/>
  <c r="AD16" i="1"/>
  <c r="AE16" i="1"/>
  <c r="AF16" i="1"/>
  <c r="AG16" i="1"/>
  <c r="AH16" i="1"/>
  <c r="AI16" i="1"/>
  <c r="AJ16" i="1"/>
  <c r="AM16" i="1"/>
  <c r="AN16" i="1"/>
  <c r="AO16" i="1"/>
  <c r="AP16" i="1"/>
  <c r="AQ16" i="1"/>
  <c r="AR16" i="1"/>
  <c r="AS16" i="1"/>
  <c r="AT16" i="1"/>
  <c r="AU16" i="1"/>
  <c r="AV16" i="1"/>
  <c r="AY16" i="1"/>
  <c r="AZ16" i="1"/>
  <c r="BA16" i="1"/>
  <c r="BB16" i="1"/>
  <c r="BC16" i="1"/>
  <c r="BD16" i="1"/>
  <c r="BE16" i="1"/>
  <c r="BF16" i="1"/>
  <c r="BG16" i="1"/>
  <c r="BH16" i="1"/>
  <c r="BK16" i="1"/>
  <c r="BL16" i="1"/>
  <c r="BM16" i="1"/>
  <c r="BN16" i="1"/>
  <c r="BO16" i="1"/>
  <c r="BP16" i="1"/>
  <c r="BQ16" i="1"/>
  <c r="BR16" i="1"/>
  <c r="BS16" i="1"/>
  <c r="BT16" i="1"/>
  <c r="AA17" i="1"/>
  <c r="AB17" i="1"/>
  <c r="AC17" i="1"/>
  <c r="AD17" i="1"/>
  <c r="AE17" i="1"/>
  <c r="AF17" i="1"/>
  <c r="AG17" i="1"/>
  <c r="AH17" i="1"/>
  <c r="AI17" i="1"/>
  <c r="AJ17" i="1"/>
  <c r="AM17" i="1"/>
  <c r="AN17" i="1"/>
  <c r="AO17" i="1"/>
  <c r="AP17" i="1"/>
  <c r="AQ17" i="1"/>
  <c r="AR17" i="1"/>
  <c r="AS17" i="1"/>
  <c r="AT17" i="1"/>
  <c r="AU17" i="1"/>
  <c r="AV17" i="1"/>
  <c r="AY17" i="1"/>
  <c r="AZ17" i="1"/>
  <c r="BA17" i="1"/>
  <c r="BB17" i="1"/>
  <c r="BC17" i="1"/>
  <c r="BD17" i="1"/>
  <c r="BE17" i="1"/>
  <c r="BF17" i="1"/>
  <c r="BG17" i="1"/>
  <c r="BH17" i="1"/>
  <c r="BK17" i="1"/>
  <c r="BL17" i="1"/>
  <c r="BM17" i="1"/>
  <c r="BN17" i="1"/>
  <c r="BO17" i="1"/>
  <c r="BP17" i="1"/>
  <c r="BQ17" i="1"/>
  <c r="BR17" i="1"/>
  <c r="BS17" i="1"/>
  <c r="BT17" i="1"/>
  <c r="O13" i="1"/>
  <c r="P13" i="1"/>
  <c r="Q13" i="1"/>
  <c r="R13" i="1"/>
  <c r="S13" i="1"/>
  <c r="T13" i="1"/>
  <c r="U13" i="1"/>
  <c r="V13" i="1"/>
  <c r="W13" i="1"/>
  <c r="X13" i="1"/>
  <c r="O14" i="1"/>
  <c r="P14" i="1"/>
  <c r="Q14" i="1"/>
  <c r="R14" i="1"/>
  <c r="S14" i="1"/>
  <c r="T14" i="1"/>
  <c r="U14" i="1"/>
  <c r="V14" i="1"/>
  <c r="W14" i="1"/>
  <c r="X14" i="1"/>
  <c r="O15" i="1"/>
  <c r="P15" i="1"/>
  <c r="Q15" i="1"/>
  <c r="R15" i="1"/>
  <c r="S15" i="1"/>
  <c r="T15" i="1"/>
  <c r="U15" i="1"/>
  <c r="V15" i="1"/>
  <c r="W15" i="1"/>
  <c r="X15" i="1"/>
  <c r="O16" i="1"/>
  <c r="P16" i="1"/>
  <c r="Q16" i="1"/>
  <c r="R16" i="1"/>
  <c r="S16" i="1"/>
  <c r="T16" i="1"/>
  <c r="U16" i="1"/>
  <c r="V16" i="1"/>
  <c r="W16" i="1"/>
  <c r="X16" i="1"/>
  <c r="O17" i="1"/>
  <c r="P17" i="1"/>
  <c r="Q17" i="1"/>
  <c r="R17" i="1"/>
  <c r="S17" i="1"/>
  <c r="T17" i="1"/>
  <c r="U17" i="1"/>
  <c r="V17" i="1"/>
  <c r="W17" i="1"/>
  <c r="X17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D13" i="1"/>
  <c r="E13" i="1"/>
  <c r="F13" i="1"/>
  <c r="G13" i="1"/>
  <c r="H13" i="1"/>
  <c r="H21" i="1" s="1"/>
  <c r="I13" i="1"/>
  <c r="J13" i="1"/>
  <c r="J19" i="1" s="1"/>
  <c r="K13" i="1"/>
  <c r="L13" i="1"/>
  <c r="C13" i="1"/>
  <c r="T19" i="1" l="1"/>
  <c r="D19" i="1"/>
  <c r="U19" i="1"/>
  <c r="Q19" i="1"/>
  <c r="G26" i="1"/>
  <c r="AU19" i="1"/>
  <c r="AC19" i="1"/>
  <c r="L25" i="1"/>
  <c r="K21" i="1"/>
  <c r="X19" i="1"/>
  <c r="F26" i="1"/>
  <c r="AT19" i="1"/>
  <c r="AJ19" i="1"/>
  <c r="E25" i="1"/>
  <c r="J22" i="1"/>
  <c r="F25" i="1"/>
  <c r="H24" i="1"/>
  <c r="J23" i="1"/>
  <c r="L23" i="1"/>
  <c r="F24" i="1"/>
  <c r="H23" i="1"/>
  <c r="BS19" i="1"/>
  <c r="F19" i="1"/>
  <c r="G21" i="1"/>
  <c r="I19" i="1"/>
  <c r="W19" i="1"/>
  <c r="O19" i="1"/>
  <c r="G22" i="1"/>
  <c r="BQ19" i="1"/>
  <c r="BG19" i="1"/>
  <c r="C25" i="1"/>
  <c r="AO19" i="1"/>
  <c r="AE19" i="1"/>
  <c r="BR19" i="1"/>
  <c r="E23" i="1"/>
  <c r="C19" i="1"/>
  <c r="E19" i="1"/>
  <c r="H19" i="1"/>
  <c r="V19" i="1"/>
  <c r="L22" i="1"/>
  <c r="R19" i="1"/>
  <c r="H26" i="1"/>
  <c r="BF19" i="1"/>
  <c r="AV19" i="1"/>
  <c r="AN19" i="1"/>
  <c r="AD19" i="1"/>
  <c r="BL19" i="1"/>
  <c r="AP19" i="1"/>
  <c r="I22" i="1"/>
  <c r="C26" i="1"/>
  <c r="G24" i="1"/>
  <c r="I23" i="1"/>
  <c r="G19" i="1"/>
  <c r="L19" i="1"/>
  <c r="I21" i="1"/>
  <c r="I30" i="1" s="1"/>
  <c r="C22" i="1"/>
  <c r="I25" i="1"/>
  <c r="C24" i="1"/>
  <c r="D22" i="1"/>
  <c r="BD19" i="1"/>
  <c r="AB19" i="1"/>
  <c r="J21" i="1"/>
  <c r="K22" i="1"/>
  <c r="E26" i="1"/>
  <c r="BC19" i="1"/>
  <c r="AS19" i="1"/>
  <c r="AI19" i="1"/>
  <c r="AA19" i="1"/>
  <c r="BB19" i="1"/>
  <c r="AF19" i="1"/>
  <c r="K30" i="1"/>
  <c r="J30" i="1"/>
  <c r="E24" i="1"/>
  <c r="K25" i="1"/>
  <c r="I26" i="1"/>
  <c r="K24" i="1"/>
  <c r="K32" i="1" s="1"/>
  <c r="F21" i="1"/>
  <c r="K19" i="1"/>
  <c r="P19" i="1"/>
  <c r="G23" i="1"/>
  <c r="H22" i="1"/>
  <c r="D24" i="1"/>
  <c r="D32" i="1" s="1"/>
  <c r="F22" i="1"/>
  <c r="AY19" i="1"/>
  <c r="J25" i="1"/>
  <c r="E21" i="1"/>
  <c r="BO19" i="1"/>
  <c r="BE19" i="1"/>
  <c r="AM19" i="1"/>
  <c r="S19" i="1"/>
  <c r="H25" i="1"/>
  <c r="I24" i="1"/>
  <c r="I32" i="1" s="1"/>
  <c r="L21" i="1"/>
  <c r="L30" i="1" s="1"/>
  <c r="D21" i="1"/>
  <c r="D30" i="1" s="1"/>
  <c r="C21" i="1"/>
  <c r="C30" i="1" s="1"/>
  <c r="BP19" i="1"/>
  <c r="J24" i="1"/>
  <c r="BN19" i="1"/>
  <c r="G25" i="1"/>
  <c r="L24" i="1"/>
  <c r="E22" i="1"/>
  <c r="BM19" i="1"/>
  <c r="E30" i="1" l="1"/>
  <c r="L32" i="1"/>
  <c r="G32" i="1"/>
  <c r="J32" i="1"/>
  <c r="E32" i="1"/>
  <c r="C32" i="1"/>
  <c r="F32" i="1"/>
  <c r="H30" i="1"/>
  <c r="G30" i="1"/>
  <c r="H32" i="1"/>
  <c r="F30" i="1"/>
</calcChain>
</file>

<file path=xl/sharedStrings.xml><?xml version="1.0" encoding="utf-8"?>
<sst xmlns="http://schemas.openxmlformats.org/spreadsheetml/2006/main" count="126" uniqueCount="123">
  <si>
    <t>##BLOCKS= 1</t>
  </si>
  <si>
    <t>Plate:</t>
  </si>
  <si>
    <t>Plate3</t>
  </si>
  <si>
    <t>TimeFormat</t>
  </si>
  <si>
    <t>Well Scan</t>
  </si>
  <si>
    <t>Absorbance</t>
  </si>
  <si>
    <t>Raw</t>
  </si>
  <si>
    <t>Horizontal Line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</si>
  <si>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</si>
  <si>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</si>
  <si>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</si>
  <si>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</si>
  <si>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</si>
  <si>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</si>
  <si>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</si>
  <si>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</si>
  <si>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</si>
  <si>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</si>
  <si>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</si>
  <si>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</si>
  <si>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</si>
  <si>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</si>
  <si>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</si>
  <si>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</si>
  <si>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</si>
  <si>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</si>
  <si>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</si>
  <si>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</si>
  <si>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</si>
  <si>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</si>
  <si>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</si>
  <si>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</si>
  <si>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</si>
  <si>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</si>
  <si>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</si>
  <si>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</si>
  <si>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</si>
  <si>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</si>
  <si>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</si>
  <si>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</si>
  <si>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</si>
  <si>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</si>
  <si>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</si>
  <si>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</si>
  <si>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</si>
  <si>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</si>
  <si>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</si>
  <si>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</si>
  <si>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</si>
  <si>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</si>
  <si>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</si>
  <si>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</si>
  <si>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</si>
  <si>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</si>
  <si>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</si>
  <si>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</si>
  <si>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</si>
  <si>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</si>
  <si>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</si>
  <si>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</si>
  <si>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</si>
  <si>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</si>
  <si>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</si>
  <si>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</si>
  <si>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</si>
  <si>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</si>
  <si>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</si>
  <si>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</si>
  <si>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</si>
  <si>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</si>
  <si>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</si>
  <si>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</si>
  <si>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</si>
  <si>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</si>
  <si>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</si>
  <si>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</si>
  <si>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</si>
  <si>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</si>
  <si>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</si>
  <si>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</si>
  <si>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</si>
  <si>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</si>
  <si>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</si>
  <si>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</si>
  <si>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</si>
  <si>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</si>
  <si>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</si>
  <si>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</si>
  <si>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</si>
  <si>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</si>
  <si>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</si>
  <si>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</si>
  <si>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</si>
  <si>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</si>
  <si>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</si>
  <si>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</si>
  <si>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</si>
  <si>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</si>
  <si>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</si>
  <si>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</si>
  <si>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</si>
  <si>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</si>
  <si>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</si>
  <si>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</si>
  <si>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</si>
  <si>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</si>
  <si>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260122_rom_ttubes_2_pombe_beads_pub; Date Last Saved: 1/22/2026 5:37:06 PM</t>
  </si>
  <si>
    <t>1. These are the raw numbers turned into Ods</t>
  </si>
  <si>
    <t>2. These are the Ods averages across the scan.</t>
  </si>
  <si>
    <t>3. Now let's arrange them by treatments.</t>
  </si>
  <si>
    <t>A</t>
  </si>
  <si>
    <t>dea2^</t>
  </si>
  <si>
    <t>B</t>
  </si>
  <si>
    <t>C</t>
  </si>
  <si>
    <t>D</t>
  </si>
  <si>
    <t>SP286</t>
  </si>
  <si>
    <t>E</t>
  </si>
  <si>
    <t>F</t>
  </si>
  <si>
    <t>NO BEAD</t>
  </si>
  <si>
    <t>BEAD</t>
  </si>
  <si>
    <t>4. finally, let's avergae by treatment across bio replicates.</t>
  </si>
  <si>
    <t>MUST FLIP THESE&gt;&gt;&gt;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</si>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</sst>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4BEB-453D-4C4D-92D5-76A264AB2DA0}">
  <dimension ref="A1:CT33"/>
  <sheetViews>
    <sheetView tabSelected="1" topLeftCell="A12" workbookViewId="0">
      <selection activeCell="L31" sqref="C31:L31"/>
    </sheetView>
  </sheetViews>
  <sheetFormatPr baseColWidth="10" defaultRowHeight="16" x14ac:dyDescent="0.2"/>
  <sheetData>
    <row r="1" spans="1:98" x14ac:dyDescent="0.2">
      <c r="A1" t="s">
        <v>0</v>
      </c>
    </row>
    <row r="2" spans="1:98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5</v>
      </c>
      <c r="J2" t="s">
        <v>7</v>
      </c>
      <c r="K2">
        <v>5</v>
      </c>
      <c r="O2">
        <v>1</v>
      </c>
      <c r="P2">
        <v>595</v>
      </c>
      <c r="Q2">
        <v>1</v>
      </c>
      <c r="R2">
        <v>10</v>
      </c>
      <c r="S2">
        <v>96</v>
      </c>
      <c r="T2">
        <v>1</v>
      </c>
      <c r="U2">
        <v>6</v>
      </c>
    </row>
    <row r="3" spans="1:98" x14ac:dyDescent="0.2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</row>
    <row r="4" spans="1:98" x14ac:dyDescent="0.2">
      <c r="A4">
        <v>1</v>
      </c>
      <c r="B4">
        <v>30</v>
      </c>
      <c r="C4">
        <v>0.3921</v>
      </c>
      <c r="D4">
        <v>0.41889999999999999</v>
      </c>
      <c r="E4">
        <v>0.31040000000000001</v>
      </c>
      <c r="F4">
        <v>0.19700000000000001</v>
      </c>
      <c r="G4">
        <v>0.2792</v>
      </c>
      <c r="H4">
        <v>0.28420000000000001</v>
      </c>
      <c r="I4">
        <v>0.37590000000000001</v>
      </c>
      <c r="J4">
        <v>0.3906</v>
      </c>
      <c r="K4">
        <v>0.41020000000000001</v>
      </c>
      <c r="L4">
        <v>0.36980000000000002</v>
      </c>
      <c r="O4">
        <v>0.37359999999999999</v>
      </c>
      <c r="P4">
        <v>0.38719999999999999</v>
      </c>
      <c r="Q4">
        <v>0.26250000000000001</v>
      </c>
      <c r="R4">
        <v>0.21179999999999999</v>
      </c>
      <c r="S4">
        <v>0.1757</v>
      </c>
      <c r="T4">
        <v>0.28399999999999997</v>
      </c>
      <c r="U4">
        <v>0.42849999999999999</v>
      </c>
      <c r="V4">
        <v>0.48399999999999999</v>
      </c>
      <c r="W4">
        <v>0.43269999999999997</v>
      </c>
      <c r="X4">
        <v>0.4173</v>
      </c>
      <c r="AA4">
        <v>0.28949999999999998</v>
      </c>
      <c r="AB4">
        <v>0.41460000000000002</v>
      </c>
      <c r="AC4">
        <v>0.28320000000000001</v>
      </c>
      <c r="AD4">
        <v>0.21390000000000001</v>
      </c>
      <c r="AE4">
        <v>0.18210000000000001</v>
      </c>
      <c r="AF4">
        <v>0.24859999999999999</v>
      </c>
      <c r="AG4">
        <v>0.35370000000000001</v>
      </c>
      <c r="AH4">
        <v>0.45639999999999997</v>
      </c>
      <c r="AI4">
        <v>0.38619999999999999</v>
      </c>
      <c r="AJ4">
        <v>0.36180000000000001</v>
      </c>
      <c r="AM4">
        <v>0.19819999999999999</v>
      </c>
      <c r="AN4">
        <v>0.23699999999999999</v>
      </c>
      <c r="AO4">
        <v>0.1714</v>
      </c>
      <c r="AP4">
        <v>0.1547</v>
      </c>
      <c r="AQ4">
        <v>0.1598</v>
      </c>
      <c r="AR4">
        <v>0.1552</v>
      </c>
      <c r="AS4">
        <v>0.18640000000000001</v>
      </c>
      <c r="AT4">
        <v>0.20300000000000001</v>
      </c>
      <c r="AU4">
        <v>0.2732</v>
      </c>
      <c r="AV4">
        <v>0.2404</v>
      </c>
      <c r="AY4">
        <v>0.1709</v>
      </c>
      <c r="AZ4">
        <v>0.23830000000000001</v>
      </c>
      <c r="BA4">
        <v>0.1797</v>
      </c>
      <c r="BB4">
        <v>0.18590000000000001</v>
      </c>
      <c r="BC4">
        <v>0.15870000000000001</v>
      </c>
      <c r="BD4">
        <v>0.16289999999999999</v>
      </c>
      <c r="BE4">
        <v>0.17680000000000001</v>
      </c>
      <c r="BF4">
        <v>0.22739999999999999</v>
      </c>
      <c r="BG4">
        <v>0.2414</v>
      </c>
      <c r="BH4">
        <v>0.20910000000000001</v>
      </c>
      <c r="BK4">
        <v>0.183</v>
      </c>
      <c r="BL4">
        <v>0.23430000000000001</v>
      </c>
      <c r="BM4">
        <v>0.19420000000000001</v>
      </c>
      <c r="BN4">
        <v>0.16039999999999999</v>
      </c>
      <c r="BO4">
        <v>0.16789999999999999</v>
      </c>
      <c r="BP4">
        <v>0.156</v>
      </c>
      <c r="BQ4">
        <v>0.19389999999999999</v>
      </c>
      <c r="BR4">
        <v>0.2278</v>
      </c>
      <c r="BS4">
        <v>0.23530000000000001</v>
      </c>
      <c r="BT4">
        <v>0.23300000000000001</v>
      </c>
    </row>
    <row r="5" spans="1:98" x14ac:dyDescent="0.2">
      <c r="A5">
        <v>2</v>
      </c>
      <c r="B5">
        <v>30</v>
      </c>
      <c r="C5">
        <v>0.42070000000000002</v>
      </c>
      <c r="D5">
        <v>0.46160000000000001</v>
      </c>
      <c r="E5">
        <v>0.34100000000000003</v>
      </c>
      <c r="F5">
        <v>0.2031</v>
      </c>
      <c r="G5">
        <v>0.317</v>
      </c>
      <c r="H5">
        <v>0.30220000000000002</v>
      </c>
      <c r="I5">
        <v>0.42399999999999999</v>
      </c>
      <c r="J5">
        <v>0.43919999999999998</v>
      </c>
      <c r="K5">
        <v>0.45179999999999998</v>
      </c>
      <c r="L5">
        <v>0.39479999999999998</v>
      </c>
      <c r="O5">
        <v>0.44450000000000001</v>
      </c>
      <c r="P5">
        <v>0.47410000000000002</v>
      </c>
      <c r="Q5">
        <v>0.29120000000000001</v>
      </c>
      <c r="R5">
        <v>0.22500000000000001</v>
      </c>
      <c r="S5">
        <v>0.18390000000000001</v>
      </c>
      <c r="T5">
        <v>0.34410000000000002</v>
      </c>
      <c r="U5">
        <v>0.52539999999999998</v>
      </c>
      <c r="V5">
        <v>0.56269999999999998</v>
      </c>
      <c r="W5">
        <v>0.50660000000000005</v>
      </c>
      <c r="X5">
        <v>0.46400000000000002</v>
      </c>
      <c r="AA5">
        <v>0.34920000000000001</v>
      </c>
      <c r="AB5">
        <v>0.50119999999999998</v>
      </c>
      <c r="AC5">
        <v>0.32019999999999998</v>
      </c>
      <c r="AD5">
        <v>0.223</v>
      </c>
      <c r="AE5">
        <v>0.19650000000000001</v>
      </c>
      <c r="AF5">
        <v>0.28549999999999998</v>
      </c>
      <c r="AG5">
        <v>0.40579999999999999</v>
      </c>
      <c r="AH5">
        <v>0.53639999999999999</v>
      </c>
      <c r="AI5">
        <v>0.41699999999999998</v>
      </c>
      <c r="AJ5">
        <v>0.39269999999999999</v>
      </c>
      <c r="AM5">
        <v>0.22</v>
      </c>
      <c r="AN5">
        <v>0.26919999999999999</v>
      </c>
      <c r="AO5">
        <v>0.17949999999999999</v>
      </c>
      <c r="AP5">
        <v>0.16</v>
      </c>
      <c r="AQ5">
        <v>0.16300000000000001</v>
      </c>
      <c r="AR5">
        <v>0.1663</v>
      </c>
      <c r="AS5">
        <v>0.21129999999999999</v>
      </c>
      <c r="AT5">
        <v>0.23</v>
      </c>
      <c r="AU5">
        <v>0.31519999999999998</v>
      </c>
      <c r="AV5">
        <v>0.27460000000000001</v>
      </c>
      <c r="AY5">
        <v>0.186</v>
      </c>
      <c r="AZ5">
        <v>0.26629999999999998</v>
      </c>
      <c r="BA5">
        <v>0.18110000000000001</v>
      </c>
      <c r="BB5">
        <v>0.19439999999999999</v>
      </c>
      <c r="BC5">
        <v>0.16439999999999999</v>
      </c>
      <c r="BD5">
        <v>0.1641</v>
      </c>
      <c r="BE5">
        <v>0.19109999999999999</v>
      </c>
      <c r="BF5">
        <v>0.25779999999999997</v>
      </c>
      <c r="BG5">
        <v>0.26269999999999999</v>
      </c>
      <c r="BH5">
        <v>0.22800000000000001</v>
      </c>
      <c r="BK5">
        <v>0.2056</v>
      </c>
      <c r="BL5">
        <v>0.26300000000000001</v>
      </c>
      <c r="BM5">
        <v>0.20849999999999999</v>
      </c>
      <c r="BN5">
        <v>0.17100000000000001</v>
      </c>
      <c r="BO5">
        <v>0.17979999999999999</v>
      </c>
      <c r="BP5">
        <v>0.1663</v>
      </c>
      <c r="BQ5">
        <v>0.20979999999999999</v>
      </c>
      <c r="BR5">
        <v>0.26169999999999999</v>
      </c>
      <c r="BS5">
        <v>0.248</v>
      </c>
      <c r="BT5">
        <v>0.25340000000000001</v>
      </c>
    </row>
    <row r="6" spans="1:98" x14ac:dyDescent="0.2">
      <c r="A6">
        <v>3</v>
      </c>
      <c r="B6">
        <v>30</v>
      </c>
      <c r="C6">
        <v>0.45529999999999998</v>
      </c>
      <c r="D6">
        <v>0.52410000000000001</v>
      </c>
      <c r="E6">
        <v>0.36609999999999998</v>
      </c>
      <c r="F6">
        <v>0.21859999999999999</v>
      </c>
      <c r="G6">
        <v>0.3705</v>
      </c>
      <c r="H6">
        <v>0.35720000000000002</v>
      </c>
      <c r="I6">
        <v>0.50960000000000005</v>
      </c>
      <c r="J6">
        <v>0.50760000000000005</v>
      </c>
      <c r="K6">
        <v>0.52280000000000004</v>
      </c>
      <c r="L6">
        <v>0.4471</v>
      </c>
      <c r="O6">
        <v>0.48730000000000001</v>
      </c>
      <c r="P6">
        <v>0.5504</v>
      </c>
      <c r="Q6">
        <v>0.29780000000000001</v>
      </c>
      <c r="R6">
        <v>0.2263</v>
      </c>
      <c r="S6">
        <v>0.1918</v>
      </c>
      <c r="T6">
        <v>0.39179999999999998</v>
      </c>
      <c r="U6">
        <v>0.62250000000000005</v>
      </c>
      <c r="V6">
        <v>0.63729999999999998</v>
      </c>
      <c r="W6">
        <v>0.55669999999999997</v>
      </c>
      <c r="X6">
        <v>0.53410000000000002</v>
      </c>
      <c r="AA6">
        <v>0.3952</v>
      </c>
      <c r="AB6">
        <v>0.60560000000000003</v>
      </c>
      <c r="AC6">
        <v>0.34889999999999999</v>
      </c>
      <c r="AD6">
        <v>0.2268</v>
      </c>
      <c r="AE6">
        <v>0.2087</v>
      </c>
      <c r="AF6">
        <v>0.36909999999999998</v>
      </c>
      <c r="AG6">
        <v>0.49759999999999999</v>
      </c>
      <c r="AH6">
        <v>0.62529999999999997</v>
      </c>
      <c r="AI6">
        <v>0.47889999999999999</v>
      </c>
      <c r="AJ6">
        <v>0.4637</v>
      </c>
      <c r="AM6">
        <v>0.23039999999999999</v>
      </c>
      <c r="AN6">
        <v>0.28249999999999997</v>
      </c>
      <c r="AO6">
        <v>0.1772</v>
      </c>
      <c r="AP6">
        <v>0.16070000000000001</v>
      </c>
      <c r="AQ6">
        <v>0.1618</v>
      </c>
      <c r="AR6">
        <v>0.1804</v>
      </c>
      <c r="AS6">
        <v>0.24129999999999999</v>
      </c>
      <c r="AT6">
        <v>0.27429999999999999</v>
      </c>
      <c r="AU6">
        <v>0.35770000000000002</v>
      </c>
      <c r="AV6">
        <v>0.31</v>
      </c>
      <c r="AY6">
        <v>0.1948</v>
      </c>
      <c r="AZ6">
        <v>0.2908</v>
      </c>
      <c r="BA6">
        <v>0.18759999999999999</v>
      </c>
      <c r="BB6">
        <v>0.20530000000000001</v>
      </c>
      <c r="BC6">
        <v>0.1709</v>
      </c>
      <c r="BD6">
        <v>0.1794</v>
      </c>
      <c r="BE6">
        <v>0.19850000000000001</v>
      </c>
      <c r="BF6">
        <v>0.31919999999999998</v>
      </c>
      <c r="BG6">
        <v>0.31009999999999999</v>
      </c>
      <c r="BH6">
        <v>0.26250000000000001</v>
      </c>
      <c r="BK6">
        <v>0.21859999999999999</v>
      </c>
      <c r="BL6">
        <v>0.2782</v>
      </c>
      <c r="BM6">
        <v>0.21299999999999999</v>
      </c>
      <c r="BN6">
        <v>0.1757</v>
      </c>
      <c r="BO6">
        <v>0.1913</v>
      </c>
      <c r="BP6">
        <v>0.17460000000000001</v>
      </c>
      <c r="BQ6">
        <v>0.23499999999999999</v>
      </c>
      <c r="BR6">
        <v>0.30580000000000002</v>
      </c>
      <c r="BS6">
        <v>0.28289999999999998</v>
      </c>
      <c r="BT6">
        <v>0.28539999999999999</v>
      </c>
    </row>
    <row r="7" spans="1:98" x14ac:dyDescent="0.2">
      <c r="A7">
        <v>4</v>
      </c>
      <c r="B7">
        <v>30</v>
      </c>
      <c r="C7">
        <v>0.46829999999999999</v>
      </c>
      <c r="D7">
        <v>0.58050000000000002</v>
      </c>
      <c r="E7">
        <v>0.36120000000000002</v>
      </c>
      <c r="F7">
        <v>0.23319999999999999</v>
      </c>
      <c r="G7">
        <v>0.40760000000000002</v>
      </c>
      <c r="H7">
        <v>0.39329999999999998</v>
      </c>
      <c r="I7">
        <v>0.58560000000000001</v>
      </c>
      <c r="J7">
        <v>0.55010000000000003</v>
      </c>
      <c r="K7">
        <v>0.57689999999999997</v>
      </c>
      <c r="L7">
        <v>0.49730000000000002</v>
      </c>
      <c r="O7">
        <v>0.46750000000000003</v>
      </c>
      <c r="P7">
        <v>0.53</v>
      </c>
      <c r="Q7">
        <v>0.2883</v>
      </c>
      <c r="R7">
        <v>0.22070000000000001</v>
      </c>
      <c r="S7">
        <v>0.19639999999999999</v>
      </c>
      <c r="T7">
        <v>0.3866</v>
      </c>
      <c r="U7">
        <v>0.63939999999999997</v>
      </c>
      <c r="V7">
        <v>0.63819999999999999</v>
      </c>
      <c r="W7">
        <v>0.54320000000000002</v>
      </c>
      <c r="X7">
        <v>0.57650000000000001</v>
      </c>
      <c r="AA7">
        <v>0.4032</v>
      </c>
      <c r="AB7">
        <v>0.62770000000000004</v>
      </c>
      <c r="AC7">
        <v>0.34029999999999999</v>
      </c>
      <c r="AD7">
        <v>0.2208</v>
      </c>
      <c r="AE7">
        <v>0.2082</v>
      </c>
      <c r="AF7">
        <v>0.4118</v>
      </c>
      <c r="AG7">
        <v>0.56579999999999997</v>
      </c>
      <c r="AH7">
        <v>0.63980000000000004</v>
      </c>
      <c r="AI7">
        <v>0.54</v>
      </c>
      <c r="AJ7">
        <v>0.53129999999999999</v>
      </c>
      <c r="AM7">
        <v>0.22800000000000001</v>
      </c>
      <c r="AN7">
        <v>0.2752</v>
      </c>
      <c r="AO7">
        <v>0.17499999999999999</v>
      </c>
      <c r="AP7">
        <v>0.16120000000000001</v>
      </c>
      <c r="AQ7">
        <v>0.1613</v>
      </c>
      <c r="AR7">
        <v>0.18759999999999999</v>
      </c>
      <c r="AS7">
        <v>0.24859999999999999</v>
      </c>
      <c r="AT7">
        <v>0.29370000000000002</v>
      </c>
      <c r="AU7">
        <v>0.35859999999999997</v>
      </c>
      <c r="AV7">
        <v>0.31669999999999998</v>
      </c>
      <c r="AY7">
        <v>0.19389999999999999</v>
      </c>
      <c r="AZ7">
        <v>0.28989999999999999</v>
      </c>
      <c r="BA7">
        <v>0.18609999999999999</v>
      </c>
      <c r="BB7">
        <v>0.20780000000000001</v>
      </c>
      <c r="BC7">
        <v>0.17419999999999999</v>
      </c>
      <c r="BD7">
        <v>0.1918</v>
      </c>
      <c r="BE7">
        <v>0.19739999999999999</v>
      </c>
      <c r="BF7">
        <v>0.36</v>
      </c>
      <c r="BG7">
        <v>0.3614</v>
      </c>
      <c r="BH7">
        <v>0.28699999999999998</v>
      </c>
      <c r="BK7">
        <v>0.21840000000000001</v>
      </c>
      <c r="BL7">
        <v>0.27510000000000001</v>
      </c>
      <c r="BM7">
        <v>0.21299999999999999</v>
      </c>
      <c r="BN7">
        <v>0.1787</v>
      </c>
      <c r="BO7">
        <v>0.1978</v>
      </c>
      <c r="BP7">
        <v>0.17519999999999999</v>
      </c>
      <c r="BQ7">
        <v>0.25180000000000002</v>
      </c>
      <c r="BR7">
        <v>0.32429999999999998</v>
      </c>
      <c r="BS7">
        <v>0.32300000000000001</v>
      </c>
      <c r="BT7">
        <v>0.29899999999999999</v>
      </c>
    </row>
    <row r="8" spans="1:98" x14ac:dyDescent="0.2">
      <c r="A8">
        <v>5</v>
      </c>
      <c r="B8">
        <v>30</v>
      </c>
      <c r="C8">
        <v>0.44590000000000002</v>
      </c>
      <c r="D8">
        <v>0.55779999999999996</v>
      </c>
      <c r="E8">
        <v>0.34460000000000002</v>
      </c>
      <c r="F8">
        <v>0.23799999999999999</v>
      </c>
      <c r="G8">
        <v>0.40500000000000003</v>
      </c>
      <c r="H8">
        <v>0.38300000000000001</v>
      </c>
      <c r="I8">
        <v>0.58299999999999996</v>
      </c>
      <c r="J8">
        <v>0.53490000000000004</v>
      </c>
      <c r="K8">
        <v>0.56420000000000003</v>
      </c>
      <c r="L8">
        <v>0.50680000000000003</v>
      </c>
      <c r="O8">
        <v>0.40760000000000002</v>
      </c>
      <c r="P8">
        <v>0.44069999999999998</v>
      </c>
      <c r="Q8">
        <v>0.25530000000000003</v>
      </c>
      <c r="R8">
        <v>0.2049</v>
      </c>
      <c r="S8">
        <v>0.20569999999999999</v>
      </c>
      <c r="T8">
        <v>0.34820000000000001</v>
      </c>
      <c r="U8">
        <v>0.56159999999999999</v>
      </c>
      <c r="V8">
        <v>0.56889999999999996</v>
      </c>
      <c r="W8">
        <v>0.47839999999999999</v>
      </c>
      <c r="X8">
        <v>0.55910000000000004</v>
      </c>
      <c r="AA8">
        <v>0.35849999999999999</v>
      </c>
      <c r="AB8">
        <v>0.54210000000000003</v>
      </c>
      <c r="AC8">
        <v>0.30099999999999999</v>
      </c>
      <c r="AD8">
        <v>0.20569999999999999</v>
      </c>
      <c r="AE8">
        <v>0.20030000000000001</v>
      </c>
      <c r="AF8">
        <v>0.39019999999999999</v>
      </c>
      <c r="AG8">
        <v>0.54459999999999997</v>
      </c>
      <c r="AH8">
        <v>0.56289999999999996</v>
      </c>
      <c r="AI8">
        <v>0.55059999999999998</v>
      </c>
      <c r="AJ8">
        <v>0.53029999999999999</v>
      </c>
      <c r="AM8">
        <v>0.20910000000000001</v>
      </c>
      <c r="AN8">
        <v>0.24349999999999999</v>
      </c>
      <c r="AO8">
        <v>0.1658</v>
      </c>
      <c r="AP8">
        <v>0.15440000000000001</v>
      </c>
      <c r="AQ8">
        <v>0.15820000000000001</v>
      </c>
      <c r="AR8">
        <v>0.20030000000000001</v>
      </c>
      <c r="AS8">
        <v>0.2457</v>
      </c>
      <c r="AT8">
        <v>0.29830000000000001</v>
      </c>
      <c r="AU8">
        <v>0.31790000000000002</v>
      </c>
      <c r="AV8">
        <v>0.29099999999999998</v>
      </c>
      <c r="AY8">
        <v>0.18459999999999999</v>
      </c>
      <c r="AZ8">
        <v>0.26469999999999999</v>
      </c>
      <c r="BA8">
        <v>0.18010000000000001</v>
      </c>
      <c r="BB8">
        <v>0.20169999999999999</v>
      </c>
      <c r="BC8">
        <v>0.16700000000000001</v>
      </c>
      <c r="BD8">
        <v>0.19550000000000001</v>
      </c>
      <c r="BE8">
        <v>0.18840000000000001</v>
      </c>
      <c r="BF8">
        <v>0.35949999999999999</v>
      </c>
      <c r="BG8">
        <v>0.37259999999999999</v>
      </c>
      <c r="BH8">
        <v>0.29070000000000001</v>
      </c>
      <c r="BK8">
        <v>0.19589999999999999</v>
      </c>
      <c r="BL8">
        <v>0.2475</v>
      </c>
      <c r="BM8">
        <v>0.19739999999999999</v>
      </c>
      <c r="BN8">
        <v>0.17130000000000001</v>
      </c>
      <c r="BO8">
        <v>0.19739999999999999</v>
      </c>
      <c r="BP8">
        <v>0.1835</v>
      </c>
      <c r="BQ8">
        <v>0.25169999999999998</v>
      </c>
      <c r="BR8">
        <v>0.31850000000000001</v>
      </c>
      <c r="BS8">
        <v>0.34160000000000001</v>
      </c>
      <c r="BT8">
        <v>0.29260000000000003</v>
      </c>
    </row>
    <row r="10" spans="1:98" x14ac:dyDescent="0.2">
      <c r="A10" t="s">
        <v>105</v>
      </c>
    </row>
    <row r="11" spans="1:98" x14ac:dyDescent="0.2">
      <c r="A11" t="s">
        <v>106</v>
      </c>
    </row>
    <row r="12" spans="1:98" x14ac:dyDescent="0.2">
      <c r="B12" t="s">
        <v>107</v>
      </c>
    </row>
    <row r="13" spans="1:98" x14ac:dyDescent="0.2">
      <c r="C13" s="1">
        <f>(C4-0.06674)/0.0466</f>
        <v>6.9819742489270382</v>
      </c>
      <c r="D13" s="1">
        <f t="shared" ref="D13:L13" si="0">(D4-0.06674)/0.0466</f>
        <v>7.5570815450643778</v>
      </c>
      <c r="E13" s="1">
        <f t="shared" si="0"/>
        <v>5.228755364806867</v>
      </c>
      <c r="F13" s="1">
        <f t="shared" si="0"/>
        <v>2.7952789699570819</v>
      </c>
      <c r="G13" s="1">
        <f t="shared" si="0"/>
        <v>4.5592274678111586</v>
      </c>
      <c r="H13" s="1">
        <f t="shared" si="0"/>
        <v>4.666523605150215</v>
      </c>
      <c r="I13" s="1">
        <f t="shared" si="0"/>
        <v>6.6343347639484973</v>
      </c>
      <c r="J13" s="1">
        <f t="shared" si="0"/>
        <v>6.9497854077253223</v>
      </c>
      <c r="K13" s="1">
        <f t="shared" si="0"/>
        <v>7.3703862660944202</v>
      </c>
      <c r="L13" s="1">
        <f t="shared" si="0"/>
        <v>6.5034334763948491</v>
      </c>
      <c r="M13" s="1"/>
      <c r="N13" s="1"/>
      <c r="O13" s="1">
        <f t="shared" ref="O13:AI13" si="1">(O4-0.06674)/0.0466</f>
        <v>6.5849785407725321</v>
      </c>
      <c r="P13" s="1">
        <f t="shared" si="1"/>
        <v>6.8768240343347626</v>
      </c>
      <c r="Q13" s="1">
        <f t="shared" si="1"/>
        <v>4.2008583690987127</v>
      </c>
      <c r="R13" s="1">
        <f t="shared" si="1"/>
        <v>3.1128755364806864</v>
      </c>
      <c r="S13" s="1">
        <f t="shared" si="1"/>
        <v>2.3381974248927038</v>
      </c>
      <c r="T13" s="1">
        <f t="shared" si="1"/>
        <v>4.6622317596566516</v>
      </c>
      <c r="U13" s="1">
        <f t="shared" si="1"/>
        <v>7.7630901287553638</v>
      </c>
      <c r="V13" s="1">
        <f t="shared" si="1"/>
        <v>8.9540772532188821</v>
      </c>
      <c r="W13" s="1">
        <f t="shared" si="1"/>
        <v>7.85321888412017</v>
      </c>
      <c r="X13" s="1">
        <f t="shared" si="1"/>
        <v>7.5227467811158792</v>
      </c>
      <c r="Y13" s="1"/>
      <c r="Z13" s="1"/>
      <c r="AA13" s="1">
        <f t="shared" si="1"/>
        <v>4.780257510729613</v>
      </c>
      <c r="AB13" s="1">
        <f t="shared" si="1"/>
        <v>7.4648068669527907</v>
      </c>
      <c r="AC13" s="1">
        <f t="shared" si="1"/>
        <v>4.6450643776824032</v>
      </c>
      <c r="AD13" s="1">
        <f t="shared" si="1"/>
        <v>3.1579399141630904</v>
      </c>
      <c r="AE13" s="1">
        <f t="shared" si="1"/>
        <v>2.4755364806866957</v>
      </c>
      <c r="AF13" s="1">
        <f t="shared" si="1"/>
        <v>3.902575107296137</v>
      </c>
      <c r="AG13" s="1">
        <f t="shared" si="1"/>
        <v>6.1579399141630899</v>
      </c>
      <c r="AH13" s="1">
        <f t="shared" si="1"/>
        <v>8.361802575107296</v>
      </c>
      <c r="AI13" s="1">
        <f t="shared" si="1"/>
        <v>6.8553648068669517</v>
      </c>
      <c r="AJ13" s="1">
        <f t="shared" ref="AJ13:BT13" si="2">(AJ4-0.06674)/0.0466</f>
        <v>6.33175965665236</v>
      </c>
      <c r="AK13" s="1"/>
      <c r="AL13" s="1"/>
      <c r="AM13" s="1">
        <f t="shared" si="2"/>
        <v>2.8210300429184545</v>
      </c>
      <c r="AN13" s="1">
        <f t="shared" si="2"/>
        <v>3.6536480686695274</v>
      </c>
      <c r="AO13" s="1">
        <f t="shared" si="2"/>
        <v>2.2459227467811158</v>
      </c>
      <c r="AP13" s="1">
        <f t="shared" si="2"/>
        <v>1.8875536480686697</v>
      </c>
      <c r="AQ13" s="1">
        <f t="shared" si="2"/>
        <v>1.9969957081545064</v>
      </c>
      <c r="AR13" s="1">
        <f t="shared" si="2"/>
        <v>1.8982832618025753</v>
      </c>
      <c r="AS13" s="1">
        <f t="shared" si="2"/>
        <v>2.5678111587982833</v>
      </c>
      <c r="AT13" s="1">
        <f t="shared" si="2"/>
        <v>2.9240343347639488</v>
      </c>
      <c r="AU13" s="1">
        <f t="shared" si="2"/>
        <v>4.4304721030042913</v>
      </c>
      <c r="AV13" s="1">
        <f t="shared" si="2"/>
        <v>3.7266094420600857</v>
      </c>
      <c r="AW13" s="1"/>
      <c r="AX13" s="1"/>
      <c r="AY13" s="1">
        <f t="shared" si="2"/>
        <v>2.2351931330472103</v>
      </c>
      <c r="AZ13" s="1">
        <f t="shared" si="2"/>
        <v>3.6815450643776826</v>
      </c>
      <c r="BA13" s="1">
        <f t="shared" si="2"/>
        <v>2.4240343347639484</v>
      </c>
      <c r="BB13" s="1">
        <f t="shared" si="2"/>
        <v>2.5570815450643778</v>
      </c>
      <c r="BC13" s="1">
        <f t="shared" si="2"/>
        <v>1.9733905579399142</v>
      </c>
      <c r="BD13" s="1">
        <f t="shared" si="2"/>
        <v>2.0635193133047207</v>
      </c>
      <c r="BE13" s="1">
        <f t="shared" si="2"/>
        <v>2.3618025751072964</v>
      </c>
      <c r="BF13" s="1">
        <f t="shared" si="2"/>
        <v>3.4476394849785406</v>
      </c>
      <c r="BG13" s="1">
        <f t="shared" si="2"/>
        <v>3.7480686695278971</v>
      </c>
      <c r="BH13" s="1">
        <f t="shared" si="2"/>
        <v>3.0549356223175965</v>
      </c>
      <c r="BI13" s="1"/>
      <c r="BJ13" s="1"/>
      <c r="BK13" s="1">
        <f t="shared" si="2"/>
        <v>2.4948497854077254</v>
      </c>
      <c r="BL13" s="1">
        <f t="shared" si="2"/>
        <v>3.595708154506438</v>
      </c>
      <c r="BM13" s="1">
        <f t="shared" si="2"/>
        <v>2.7351931330472103</v>
      </c>
      <c r="BN13" s="1">
        <f t="shared" si="2"/>
        <v>2.009871244635193</v>
      </c>
      <c r="BO13" s="1">
        <f t="shared" si="2"/>
        <v>2.1708154506437767</v>
      </c>
      <c r="BP13" s="1">
        <f t="shared" si="2"/>
        <v>1.9154506437768242</v>
      </c>
      <c r="BQ13" s="1">
        <f t="shared" si="2"/>
        <v>2.7287553648068665</v>
      </c>
      <c r="BR13" s="1">
        <f t="shared" si="2"/>
        <v>3.4562231759656652</v>
      </c>
      <c r="BS13" s="1">
        <f t="shared" si="2"/>
        <v>3.6171673819742489</v>
      </c>
      <c r="BT13" s="1">
        <f t="shared" si="2"/>
        <v>3.5678111587982833</v>
      </c>
    </row>
    <row r="14" spans="1:98" x14ac:dyDescent="0.2">
      <c r="C14" s="1">
        <f t="shared" ref="C14:L14" si="3">(C5-0.06674)/0.0466</f>
        <v>7.5957081545064389</v>
      </c>
      <c r="D14" s="1">
        <f t="shared" si="3"/>
        <v>8.4733905579399131</v>
      </c>
      <c r="E14" s="1">
        <f t="shared" si="3"/>
        <v>5.8854077253218895</v>
      </c>
      <c r="F14" s="1">
        <f t="shared" si="3"/>
        <v>2.9261802575107296</v>
      </c>
      <c r="G14" s="1">
        <f t="shared" si="3"/>
        <v>5.370386266094421</v>
      </c>
      <c r="H14" s="1">
        <f t="shared" si="3"/>
        <v>5.0527896995708161</v>
      </c>
      <c r="I14" s="1">
        <f t="shared" si="3"/>
        <v>7.666523605150215</v>
      </c>
      <c r="J14" s="1">
        <f t="shared" si="3"/>
        <v>7.9927038626609441</v>
      </c>
      <c r="K14" s="1">
        <f t="shared" si="3"/>
        <v>8.2630901287553638</v>
      </c>
      <c r="L14" s="1">
        <f t="shared" si="3"/>
        <v>7.0399141630901285</v>
      </c>
      <c r="M14" s="1"/>
      <c r="N14" s="1"/>
      <c r="O14" s="1">
        <f t="shared" ref="O14:AH14" si="4">(O5-0.06674)/0.0466</f>
        <v>8.1064377682403421</v>
      </c>
      <c r="P14" s="1">
        <f t="shared" si="4"/>
        <v>8.7416309012875537</v>
      </c>
      <c r="Q14" s="1">
        <f t="shared" si="4"/>
        <v>4.8167381974248933</v>
      </c>
      <c r="R14" s="1">
        <f t="shared" si="4"/>
        <v>3.3961373390557941</v>
      </c>
      <c r="S14" s="1">
        <f t="shared" si="4"/>
        <v>2.5141630901287555</v>
      </c>
      <c r="T14" s="1">
        <f t="shared" si="4"/>
        <v>5.951931330472104</v>
      </c>
      <c r="U14" s="1">
        <f t="shared" si="4"/>
        <v>9.842489270386265</v>
      </c>
      <c r="V14" s="1">
        <f t="shared" si="4"/>
        <v>10.642918454935621</v>
      </c>
      <c r="W14" s="1">
        <f t="shared" si="4"/>
        <v>9.4390557939914164</v>
      </c>
      <c r="X14" s="1">
        <f t="shared" si="4"/>
        <v>8.5248927038626618</v>
      </c>
      <c r="Y14" s="1"/>
      <c r="Z14" s="1"/>
      <c r="AA14" s="1">
        <f t="shared" si="4"/>
        <v>6.0613733905579403</v>
      </c>
      <c r="AB14" s="1">
        <f t="shared" si="4"/>
        <v>9.323175965665234</v>
      </c>
      <c r="AC14" s="1">
        <f t="shared" si="4"/>
        <v>5.4390557939914164</v>
      </c>
      <c r="AD14" s="1">
        <f t="shared" si="4"/>
        <v>3.3532188841201718</v>
      </c>
      <c r="AE14" s="1">
        <f t="shared" si="4"/>
        <v>2.784549356223176</v>
      </c>
      <c r="AF14" s="1">
        <f t="shared" si="4"/>
        <v>4.6944206008583684</v>
      </c>
      <c r="AG14" s="1">
        <f t="shared" si="4"/>
        <v>7.2759656652360514</v>
      </c>
      <c r="AH14" s="1">
        <f t="shared" si="4"/>
        <v>10.078540772532188</v>
      </c>
      <c r="AI14" s="1">
        <f t="shared" ref="AI14:BT14" si="5">(AI5-0.06674)/0.0466</f>
        <v>7.5163090128755368</v>
      </c>
      <c r="AJ14" s="1">
        <f t="shared" si="5"/>
        <v>6.9948497854077258</v>
      </c>
      <c r="AK14" s="1"/>
      <c r="AL14" s="1"/>
      <c r="AM14" s="1">
        <f t="shared" si="5"/>
        <v>3.2888412017167381</v>
      </c>
      <c r="AN14" s="1">
        <f t="shared" si="5"/>
        <v>4.3446351931330467</v>
      </c>
      <c r="AO14" s="1">
        <f t="shared" si="5"/>
        <v>2.4197424892703863</v>
      </c>
      <c r="AP14" s="1">
        <f t="shared" si="5"/>
        <v>2.0012875536480688</v>
      </c>
      <c r="AQ14" s="1">
        <f t="shared" si="5"/>
        <v>2.0656652360515024</v>
      </c>
      <c r="AR14" s="1">
        <f t="shared" si="5"/>
        <v>2.136480686695279</v>
      </c>
      <c r="AS14" s="1">
        <f t="shared" si="5"/>
        <v>3.1021459227467809</v>
      </c>
      <c r="AT14" s="1">
        <f t="shared" si="5"/>
        <v>3.50343347639485</v>
      </c>
      <c r="AU14" s="1">
        <f t="shared" si="5"/>
        <v>5.33175965665236</v>
      </c>
      <c r="AV14" s="1">
        <f t="shared" si="5"/>
        <v>4.4605150214592273</v>
      </c>
      <c r="AW14" s="1"/>
      <c r="AX14" s="1"/>
      <c r="AY14" s="1">
        <f t="shared" si="5"/>
        <v>2.5592274678111586</v>
      </c>
      <c r="AZ14" s="1">
        <f t="shared" si="5"/>
        <v>4.2824034334763947</v>
      </c>
      <c r="BA14" s="1">
        <f t="shared" si="5"/>
        <v>2.4540772532188844</v>
      </c>
      <c r="BB14" s="1">
        <f t="shared" si="5"/>
        <v>2.7394849785407724</v>
      </c>
      <c r="BC14" s="1">
        <f t="shared" si="5"/>
        <v>2.0957081545064375</v>
      </c>
      <c r="BD14" s="1">
        <f t="shared" si="5"/>
        <v>2.0892703862660942</v>
      </c>
      <c r="BE14" s="1">
        <f t="shared" si="5"/>
        <v>2.6686695278969954</v>
      </c>
      <c r="BF14" s="1">
        <f t="shared" si="5"/>
        <v>4.0999999999999996</v>
      </c>
      <c r="BG14" s="1">
        <f t="shared" si="5"/>
        <v>4.2051502145922743</v>
      </c>
      <c r="BH14" s="1">
        <f t="shared" si="5"/>
        <v>3.4605150214592277</v>
      </c>
      <c r="BI14" s="1"/>
      <c r="BJ14" s="1"/>
      <c r="BK14" s="1">
        <f t="shared" si="5"/>
        <v>2.9798283261802574</v>
      </c>
      <c r="BL14" s="1">
        <f t="shared" si="5"/>
        <v>4.2115879828326186</v>
      </c>
      <c r="BM14" s="1">
        <f t="shared" si="5"/>
        <v>3.0420600858369098</v>
      </c>
      <c r="BN14" s="1">
        <f t="shared" si="5"/>
        <v>2.2373390557939916</v>
      </c>
      <c r="BO14" s="1">
        <f t="shared" si="5"/>
        <v>2.4261802575107292</v>
      </c>
      <c r="BP14" s="1">
        <f t="shared" si="5"/>
        <v>2.136480686695279</v>
      </c>
      <c r="BQ14" s="1">
        <f t="shared" si="5"/>
        <v>3.0699570815450641</v>
      </c>
      <c r="BR14" s="1">
        <f t="shared" si="5"/>
        <v>4.1836909871244634</v>
      </c>
      <c r="BS14" s="1">
        <f t="shared" si="5"/>
        <v>3.8896995708154507</v>
      </c>
      <c r="BT14" s="1">
        <f t="shared" si="5"/>
        <v>4.0055793991416309</v>
      </c>
    </row>
    <row r="15" spans="1:98" x14ac:dyDescent="0.2">
      <c r="C15" s="1">
        <f t="shared" ref="C15:L15" si="6">(C6-0.06674)/0.0466</f>
        <v>8.3381974248927033</v>
      </c>
      <c r="D15" s="1">
        <f t="shared" si="6"/>
        <v>9.8145922746781107</v>
      </c>
      <c r="E15" s="1">
        <f t="shared" si="6"/>
        <v>6.424034334763947</v>
      </c>
      <c r="F15" s="1">
        <f t="shared" si="6"/>
        <v>3.2587982832618021</v>
      </c>
      <c r="G15" s="1">
        <f t="shared" si="6"/>
        <v>6.5184549356223176</v>
      </c>
      <c r="H15" s="1">
        <f t="shared" si="6"/>
        <v>6.2330472103004295</v>
      </c>
      <c r="I15" s="1">
        <f t="shared" si="6"/>
        <v>9.50343347639485</v>
      </c>
      <c r="J15" s="1">
        <f t="shared" si="6"/>
        <v>9.4605150214592282</v>
      </c>
      <c r="K15" s="1">
        <f t="shared" si="6"/>
        <v>9.7866952789699564</v>
      </c>
      <c r="L15" s="1">
        <f t="shared" si="6"/>
        <v>8.1622317596566525</v>
      </c>
      <c r="M15" s="1"/>
      <c r="N15" s="1"/>
      <c r="O15" s="1">
        <f t="shared" ref="O15:AH15" si="7">(O6-0.06674)/0.0466</f>
        <v>9.0248927038626618</v>
      </c>
      <c r="P15" s="1">
        <f t="shared" si="7"/>
        <v>10.378969957081544</v>
      </c>
      <c r="Q15" s="1">
        <f t="shared" si="7"/>
        <v>4.9583690987124465</v>
      </c>
      <c r="R15" s="1">
        <f t="shared" si="7"/>
        <v>3.4240343347639484</v>
      </c>
      <c r="S15" s="1">
        <f t="shared" si="7"/>
        <v>2.6836909871244634</v>
      </c>
      <c r="T15" s="1">
        <f t="shared" si="7"/>
        <v>6.9755364806866949</v>
      </c>
      <c r="U15" s="1">
        <f t="shared" si="7"/>
        <v>11.92618025751073</v>
      </c>
      <c r="V15" s="1">
        <f t="shared" si="7"/>
        <v>12.243776824034333</v>
      </c>
      <c r="W15" s="1">
        <f t="shared" si="7"/>
        <v>10.514163090128754</v>
      </c>
      <c r="X15" s="1">
        <f t="shared" si="7"/>
        <v>10.029184549356222</v>
      </c>
      <c r="Y15" s="1"/>
      <c r="Z15" s="1"/>
      <c r="AA15" s="1">
        <f t="shared" si="7"/>
        <v>7.0484978540772527</v>
      </c>
      <c r="AB15" s="1">
        <f t="shared" si="7"/>
        <v>11.56351931330472</v>
      </c>
      <c r="AC15" s="1">
        <f t="shared" si="7"/>
        <v>6.0549356223175952</v>
      </c>
      <c r="AD15" s="1">
        <f t="shared" si="7"/>
        <v>3.4347639484978543</v>
      </c>
      <c r="AE15" s="1">
        <f t="shared" si="7"/>
        <v>3.0463519313304719</v>
      </c>
      <c r="AF15" s="1">
        <f t="shared" si="7"/>
        <v>6.4884120171673807</v>
      </c>
      <c r="AG15" s="1">
        <f t="shared" si="7"/>
        <v>9.2459227467811154</v>
      </c>
      <c r="AH15" s="1">
        <f t="shared" si="7"/>
        <v>11.9862660944206</v>
      </c>
      <c r="AI15" s="1">
        <f t="shared" ref="AI15:BT15" si="8">(AI6-0.06674)/0.0466</f>
        <v>8.8446351931330458</v>
      </c>
      <c r="AJ15" s="1">
        <f t="shared" si="8"/>
        <v>8.5184549356223158</v>
      </c>
      <c r="AK15" s="1"/>
      <c r="AL15" s="1"/>
      <c r="AM15" s="1">
        <f t="shared" si="8"/>
        <v>3.5120171673819742</v>
      </c>
      <c r="AN15" s="1">
        <f t="shared" si="8"/>
        <v>4.6300429184549348</v>
      </c>
      <c r="AO15" s="1">
        <f t="shared" si="8"/>
        <v>2.3703862660944206</v>
      </c>
      <c r="AP15" s="1">
        <f t="shared" si="8"/>
        <v>2.0163090128755368</v>
      </c>
      <c r="AQ15" s="1">
        <f t="shared" si="8"/>
        <v>2.039914163090129</v>
      </c>
      <c r="AR15" s="1">
        <f t="shared" si="8"/>
        <v>2.4390557939914164</v>
      </c>
      <c r="AS15" s="1">
        <f t="shared" si="8"/>
        <v>3.7459227467811154</v>
      </c>
      <c r="AT15" s="1">
        <f t="shared" si="8"/>
        <v>4.4540772532188839</v>
      </c>
      <c r="AU15" s="1">
        <f t="shared" si="8"/>
        <v>6.2437768240343345</v>
      </c>
      <c r="AV15" s="1">
        <f t="shared" si="8"/>
        <v>5.2201716738197419</v>
      </c>
      <c r="AW15" s="1"/>
      <c r="AX15" s="1"/>
      <c r="AY15" s="1">
        <f t="shared" si="8"/>
        <v>2.7480686695278971</v>
      </c>
      <c r="AZ15" s="1">
        <f t="shared" si="8"/>
        <v>4.8081545064377682</v>
      </c>
      <c r="BA15" s="1">
        <f t="shared" si="8"/>
        <v>2.5935622317596563</v>
      </c>
      <c r="BB15" s="1">
        <f t="shared" si="8"/>
        <v>2.9733905579399145</v>
      </c>
      <c r="BC15" s="1">
        <f t="shared" si="8"/>
        <v>2.2351931330472103</v>
      </c>
      <c r="BD15" s="1">
        <f t="shared" si="8"/>
        <v>2.4175965665236054</v>
      </c>
      <c r="BE15" s="1">
        <f t="shared" si="8"/>
        <v>2.8274678111587983</v>
      </c>
      <c r="BF15" s="1">
        <f t="shared" si="8"/>
        <v>5.4175965665236054</v>
      </c>
      <c r="BG15" s="1">
        <f t="shared" si="8"/>
        <v>5.2223175965665236</v>
      </c>
      <c r="BH15" s="1">
        <f t="shared" si="8"/>
        <v>4.2008583690987127</v>
      </c>
      <c r="BI15" s="1"/>
      <c r="BJ15" s="1"/>
      <c r="BK15" s="1">
        <f t="shared" si="8"/>
        <v>3.2587982832618021</v>
      </c>
      <c r="BL15" s="1">
        <f t="shared" si="8"/>
        <v>4.5377682403433477</v>
      </c>
      <c r="BM15" s="1">
        <f t="shared" si="8"/>
        <v>3.1386266094420598</v>
      </c>
      <c r="BN15" s="1">
        <f t="shared" si="8"/>
        <v>2.3381974248927038</v>
      </c>
      <c r="BO15" s="1">
        <f t="shared" si="8"/>
        <v>2.6729613733905579</v>
      </c>
      <c r="BP15" s="1">
        <f t="shared" si="8"/>
        <v>2.3145922746781116</v>
      </c>
      <c r="BQ15" s="1">
        <f t="shared" si="8"/>
        <v>3.6107296137339051</v>
      </c>
      <c r="BR15" s="1">
        <f t="shared" si="8"/>
        <v>5.1300429184549357</v>
      </c>
      <c r="BS15" s="1">
        <f t="shared" si="8"/>
        <v>4.6386266094420598</v>
      </c>
      <c r="BT15" s="1">
        <f t="shared" si="8"/>
        <v>4.6922746781115876</v>
      </c>
    </row>
    <row r="16" spans="1:98" x14ac:dyDescent="0.2">
      <c r="C16" s="1">
        <f t="shared" ref="C16:L16" si="9">(C7-0.06674)/0.0466</f>
        <v>8.6171673819742498</v>
      </c>
      <c r="D16" s="1">
        <f t="shared" si="9"/>
        <v>11.02489270386266</v>
      </c>
      <c r="E16" s="1">
        <f t="shared" si="9"/>
        <v>6.318884120171675</v>
      </c>
      <c r="F16" s="1">
        <f t="shared" si="9"/>
        <v>3.5721030042918454</v>
      </c>
      <c r="G16" s="1">
        <f t="shared" si="9"/>
        <v>7.3145922746781125</v>
      </c>
      <c r="H16" s="1">
        <f t="shared" si="9"/>
        <v>7.0077253218884108</v>
      </c>
      <c r="I16" s="1">
        <f t="shared" si="9"/>
        <v>11.134334763948496</v>
      </c>
      <c r="J16" s="1">
        <f t="shared" si="9"/>
        <v>10.372532188841202</v>
      </c>
      <c r="K16" s="1">
        <f t="shared" si="9"/>
        <v>10.94763948497854</v>
      </c>
      <c r="L16" s="1">
        <f t="shared" si="9"/>
        <v>9.2394849785407729</v>
      </c>
      <c r="M16" s="1"/>
      <c r="N16" s="1"/>
      <c r="O16" s="1">
        <f t="shared" ref="O16:AH16" si="10">(O7-0.06674)/0.0466</f>
        <v>8.6</v>
      </c>
      <c r="P16" s="1">
        <f t="shared" si="10"/>
        <v>9.9412017167381972</v>
      </c>
      <c r="Q16" s="1">
        <f t="shared" si="10"/>
        <v>4.7545064377682404</v>
      </c>
      <c r="R16" s="1">
        <f t="shared" si="10"/>
        <v>3.3038626609442061</v>
      </c>
      <c r="S16" s="1">
        <f t="shared" si="10"/>
        <v>2.7824034334763947</v>
      </c>
      <c r="T16" s="1">
        <f t="shared" si="10"/>
        <v>6.8639484978540777</v>
      </c>
      <c r="U16" s="1">
        <f t="shared" si="10"/>
        <v>12.288841201716737</v>
      </c>
      <c r="V16" s="1">
        <f t="shared" si="10"/>
        <v>12.263090128755364</v>
      </c>
      <c r="W16" s="1">
        <f t="shared" si="10"/>
        <v>10.224463519313304</v>
      </c>
      <c r="X16" s="1">
        <f t="shared" si="10"/>
        <v>10.939055793991416</v>
      </c>
      <c r="Y16" s="1"/>
      <c r="Z16" s="1"/>
      <c r="AA16" s="1">
        <f t="shared" si="10"/>
        <v>7.2201716738197419</v>
      </c>
      <c r="AB16" s="1">
        <f t="shared" si="10"/>
        <v>12.037768240343347</v>
      </c>
      <c r="AC16" s="1">
        <f t="shared" si="10"/>
        <v>5.870386266094421</v>
      </c>
      <c r="AD16" s="1">
        <f t="shared" si="10"/>
        <v>3.3060085836909869</v>
      </c>
      <c r="AE16" s="1">
        <f t="shared" si="10"/>
        <v>3.0356223175965664</v>
      </c>
      <c r="AF16" s="1">
        <f t="shared" si="10"/>
        <v>7.4047210300429187</v>
      </c>
      <c r="AG16" s="1">
        <f t="shared" si="10"/>
        <v>10.709442060085836</v>
      </c>
      <c r="AH16" s="1">
        <f t="shared" si="10"/>
        <v>12.297424892703862</v>
      </c>
      <c r="AI16" s="1">
        <f t="shared" ref="AI16:BT16" si="11">(AI7-0.06674)/0.0466</f>
        <v>10.155793991416308</v>
      </c>
      <c r="AJ16" s="1">
        <f t="shared" si="11"/>
        <v>9.9690987124463515</v>
      </c>
      <c r="AK16" s="1"/>
      <c r="AL16" s="1"/>
      <c r="AM16" s="1">
        <f t="shared" si="11"/>
        <v>3.4605150214592277</v>
      </c>
      <c r="AN16" s="1">
        <f t="shared" si="11"/>
        <v>4.473390557939914</v>
      </c>
      <c r="AO16" s="1">
        <f t="shared" si="11"/>
        <v>2.3231759656652358</v>
      </c>
      <c r="AP16" s="1">
        <f t="shared" si="11"/>
        <v>2.0270386266094422</v>
      </c>
      <c r="AQ16" s="1">
        <f t="shared" si="11"/>
        <v>2.0291845493562231</v>
      </c>
      <c r="AR16" s="1">
        <f t="shared" si="11"/>
        <v>2.5935622317596563</v>
      </c>
      <c r="AS16" s="1">
        <f t="shared" si="11"/>
        <v>3.902575107296137</v>
      </c>
      <c r="AT16" s="1">
        <f t="shared" si="11"/>
        <v>4.870386266094421</v>
      </c>
      <c r="AU16" s="1">
        <f t="shared" si="11"/>
        <v>6.2630901287553646</v>
      </c>
      <c r="AV16" s="1">
        <f t="shared" si="11"/>
        <v>5.3639484978540768</v>
      </c>
      <c r="AW16" s="1"/>
      <c r="AX16" s="1"/>
      <c r="AY16" s="1">
        <f t="shared" si="11"/>
        <v>2.7287553648068665</v>
      </c>
      <c r="AZ16" s="1">
        <f t="shared" si="11"/>
        <v>4.7888412017167381</v>
      </c>
      <c r="BA16" s="1">
        <f t="shared" si="11"/>
        <v>2.5613733905579394</v>
      </c>
      <c r="BB16" s="1">
        <f t="shared" si="11"/>
        <v>3.0270386266094422</v>
      </c>
      <c r="BC16" s="1">
        <f t="shared" si="11"/>
        <v>2.3060085836909869</v>
      </c>
      <c r="BD16" s="1">
        <f t="shared" si="11"/>
        <v>2.6836909871244634</v>
      </c>
      <c r="BE16" s="1">
        <f t="shared" si="11"/>
        <v>2.8038626609442057</v>
      </c>
      <c r="BF16" s="1">
        <f t="shared" si="11"/>
        <v>6.2931330472102998</v>
      </c>
      <c r="BG16" s="1">
        <f t="shared" si="11"/>
        <v>6.3231759656652367</v>
      </c>
      <c r="BH16" s="1">
        <f t="shared" si="11"/>
        <v>4.7266094420600853</v>
      </c>
      <c r="BI16" s="1"/>
      <c r="BJ16" s="1"/>
      <c r="BK16" s="1">
        <f t="shared" si="11"/>
        <v>3.2545064377682404</v>
      </c>
      <c r="BL16" s="1">
        <f t="shared" si="11"/>
        <v>4.4712446351931332</v>
      </c>
      <c r="BM16" s="1">
        <f t="shared" si="11"/>
        <v>3.1386266094420598</v>
      </c>
      <c r="BN16" s="1">
        <f t="shared" si="11"/>
        <v>2.4025751072961374</v>
      </c>
      <c r="BO16" s="1">
        <f t="shared" si="11"/>
        <v>2.8124463519313307</v>
      </c>
      <c r="BP16" s="1">
        <f t="shared" si="11"/>
        <v>2.3274678111587983</v>
      </c>
      <c r="BQ16" s="1">
        <f t="shared" si="11"/>
        <v>3.9712446351931336</v>
      </c>
      <c r="BR16" s="1">
        <f t="shared" si="11"/>
        <v>5.5270386266094418</v>
      </c>
      <c r="BS16" s="1">
        <f t="shared" si="11"/>
        <v>5.4991416309012884</v>
      </c>
      <c r="BT16" s="1">
        <f t="shared" si="11"/>
        <v>4.984120171673819</v>
      </c>
    </row>
    <row r="17" spans="2:72" x14ac:dyDescent="0.2">
      <c r="C17" s="1">
        <f t="shared" ref="C17:L17" si="12">(C8-0.06674)/0.0466</f>
        <v>8.136480686695279</v>
      </c>
      <c r="D17" s="1">
        <f t="shared" si="12"/>
        <v>10.537768240343345</v>
      </c>
      <c r="E17" s="1">
        <f t="shared" si="12"/>
        <v>5.9626609442060081</v>
      </c>
      <c r="F17" s="1">
        <f t="shared" si="12"/>
        <v>3.6751072961373388</v>
      </c>
      <c r="G17" s="1">
        <f t="shared" si="12"/>
        <v>7.2587982832618021</v>
      </c>
      <c r="H17" s="1">
        <f t="shared" si="12"/>
        <v>6.7866952789699564</v>
      </c>
      <c r="I17" s="1">
        <f t="shared" si="12"/>
        <v>11.078540772532188</v>
      </c>
      <c r="J17" s="1">
        <f t="shared" si="12"/>
        <v>10.046351931330472</v>
      </c>
      <c r="K17" s="1">
        <f t="shared" si="12"/>
        <v>10.675107296137339</v>
      </c>
      <c r="L17" s="1">
        <f t="shared" si="12"/>
        <v>9.443347639484978</v>
      </c>
      <c r="M17" s="1"/>
      <c r="N17" s="1"/>
      <c r="O17" s="1">
        <f t="shared" ref="O17:AH17" si="13">(O8-0.06674)/0.0466</f>
        <v>7.3145922746781125</v>
      </c>
      <c r="P17" s="1">
        <f t="shared" si="13"/>
        <v>8.0248927038626601</v>
      </c>
      <c r="Q17" s="1">
        <f t="shared" si="13"/>
        <v>4.0463519313304728</v>
      </c>
      <c r="R17" s="1">
        <f t="shared" si="13"/>
        <v>2.9648068669527898</v>
      </c>
      <c r="S17" s="1">
        <f t="shared" si="13"/>
        <v>2.9819742489270387</v>
      </c>
      <c r="T17" s="1">
        <f t="shared" si="13"/>
        <v>6.0399141630901294</v>
      </c>
      <c r="U17" s="1">
        <f t="shared" si="13"/>
        <v>10.619313304721029</v>
      </c>
      <c r="V17" s="1">
        <f t="shared" si="13"/>
        <v>10.77596566523605</v>
      </c>
      <c r="W17" s="1">
        <f t="shared" si="13"/>
        <v>8.8339055793991417</v>
      </c>
      <c r="X17" s="1">
        <f t="shared" si="13"/>
        <v>10.565665236051503</v>
      </c>
      <c r="Y17" s="1"/>
      <c r="Z17" s="1"/>
      <c r="AA17" s="1">
        <f t="shared" si="13"/>
        <v>6.2609442060085838</v>
      </c>
      <c r="AB17" s="1">
        <f t="shared" si="13"/>
        <v>10.200858369098713</v>
      </c>
      <c r="AC17" s="1">
        <f t="shared" si="13"/>
        <v>5.0270386266094418</v>
      </c>
      <c r="AD17" s="1">
        <f t="shared" si="13"/>
        <v>2.9819742489270387</v>
      </c>
      <c r="AE17" s="1">
        <f t="shared" si="13"/>
        <v>2.8660944206008585</v>
      </c>
      <c r="AF17" s="1">
        <f t="shared" si="13"/>
        <v>6.9412017167381963</v>
      </c>
      <c r="AG17" s="1">
        <f t="shared" si="13"/>
        <v>10.254506437768239</v>
      </c>
      <c r="AH17" s="1">
        <f t="shared" si="13"/>
        <v>10.647210300429183</v>
      </c>
      <c r="AI17" s="1">
        <f t="shared" ref="AI17:BT17" si="14">(AI8-0.06674)/0.0466</f>
        <v>10.383261802575106</v>
      </c>
      <c r="AJ17" s="1">
        <f t="shared" si="14"/>
        <v>9.9476394849785397</v>
      </c>
      <c r="AK17" s="1"/>
      <c r="AL17" s="1"/>
      <c r="AM17" s="1">
        <f t="shared" si="14"/>
        <v>3.0549356223175965</v>
      </c>
      <c r="AN17" s="1">
        <f t="shared" si="14"/>
        <v>3.7931330472103002</v>
      </c>
      <c r="AO17" s="1">
        <f t="shared" si="14"/>
        <v>2.1257510729613736</v>
      </c>
      <c r="AP17" s="1">
        <f t="shared" si="14"/>
        <v>1.8811158798283265</v>
      </c>
      <c r="AQ17" s="1">
        <f t="shared" si="14"/>
        <v>1.9626609442060088</v>
      </c>
      <c r="AR17" s="1">
        <f t="shared" si="14"/>
        <v>2.8660944206008585</v>
      </c>
      <c r="AS17" s="1">
        <f t="shared" si="14"/>
        <v>3.840343347639485</v>
      </c>
      <c r="AT17" s="1">
        <f t="shared" si="14"/>
        <v>4.9690987124463524</v>
      </c>
      <c r="AU17" s="1">
        <f t="shared" si="14"/>
        <v>5.3896995708154511</v>
      </c>
      <c r="AV17" s="1">
        <f t="shared" si="14"/>
        <v>4.8124463519313299</v>
      </c>
      <c r="AW17" s="1"/>
      <c r="AX17" s="1"/>
      <c r="AY17" s="1">
        <f t="shared" si="14"/>
        <v>2.5291845493562231</v>
      </c>
      <c r="AZ17" s="1">
        <f t="shared" si="14"/>
        <v>4.2480686695278971</v>
      </c>
      <c r="BA17" s="1">
        <f t="shared" si="14"/>
        <v>2.432618025751073</v>
      </c>
      <c r="BB17" s="1">
        <f t="shared" si="14"/>
        <v>2.8961373390557936</v>
      </c>
      <c r="BC17" s="1">
        <f t="shared" si="14"/>
        <v>2.151502145922747</v>
      </c>
      <c r="BD17" s="1">
        <f t="shared" si="14"/>
        <v>2.7630901287553651</v>
      </c>
      <c r="BE17" s="1">
        <f t="shared" si="14"/>
        <v>2.610729613733906</v>
      </c>
      <c r="BF17" s="1">
        <f t="shared" si="14"/>
        <v>6.2824034334763947</v>
      </c>
      <c r="BG17" s="1">
        <f t="shared" si="14"/>
        <v>6.5635193133047212</v>
      </c>
      <c r="BH17" s="1">
        <f t="shared" si="14"/>
        <v>4.8060085836909874</v>
      </c>
      <c r="BI17" s="1"/>
      <c r="BJ17" s="1"/>
      <c r="BK17" s="1">
        <f t="shared" si="14"/>
        <v>2.7716738197424893</v>
      </c>
      <c r="BL17" s="1">
        <f t="shared" si="14"/>
        <v>3.8789699570815448</v>
      </c>
      <c r="BM17" s="1">
        <f t="shared" si="14"/>
        <v>2.8038626609442057</v>
      </c>
      <c r="BN17" s="1">
        <f t="shared" si="14"/>
        <v>2.243776824034335</v>
      </c>
      <c r="BO17" s="1">
        <f t="shared" si="14"/>
        <v>2.8038626609442057</v>
      </c>
      <c r="BP17" s="1">
        <f t="shared" si="14"/>
        <v>2.5055793991416309</v>
      </c>
      <c r="BQ17" s="1">
        <f t="shared" si="14"/>
        <v>3.9690987124463515</v>
      </c>
      <c r="BR17" s="1">
        <f t="shared" si="14"/>
        <v>5.402575107296137</v>
      </c>
      <c r="BS17" s="1">
        <f t="shared" si="14"/>
        <v>5.8982832618025745</v>
      </c>
      <c r="BT17" s="1">
        <f t="shared" si="14"/>
        <v>4.8467811158798284</v>
      </c>
    </row>
    <row r="18" spans="2:72" x14ac:dyDescent="0.2">
      <c r="B18" t="s">
        <v>108</v>
      </c>
    </row>
    <row r="19" spans="2:72" x14ac:dyDescent="0.2">
      <c r="C19" s="1">
        <f>AVERAGE(C13:C17)</f>
        <v>7.9339055793991422</v>
      </c>
      <c r="D19" s="1">
        <f t="shared" ref="D19:BO19" si="15">AVERAGE(D13:D17)</f>
        <v>9.4815450643776824</v>
      </c>
      <c r="E19" s="1">
        <f t="shared" si="15"/>
        <v>5.9639484978540764</v>
      </c>
      <c r="F19" s="1">
        <f t="shared" si="15"/>
        <v>3.2454935622317591</v>
      </c>
      <c r="G19" s="1">
        <f t="shared" si="15"/>
        <v>6.2042918454935627</v>
      </c>
      <c r="H19" s="1">
        <f t="shared" si="15"/>
        <v>5.9493562231759656</v>
      </c>
      <c r="I19" s="1">
        <f t="shared" si="15"/>
        <v>9.2034334763948493</v>
      </c>
      <c r="J19" s="1">
        <f t="shared" si="15"/>
        <v>8.964377682403434</v>
      </c>
      <c r="K19" s="1">
        <f t="shared" si="15"/>
        <v>9.4085836909871237</v>
      </c>
      <c r="L19" s="1">
        <f t="shared" si="15"/>
        <v>8.0776824034334762</v>
      </c>
      <c r="M19" s="1"/>
      <c r="N19" s="1"/>
      <c r="O19" s="1">
        <f t="shared" si="15"/>
        <v>7.9261802575107296</v>
      </c>
      <c r="P19" s="1">
        <f t="shared" si="15"/>
        <v>8.7927038626609448</v>
      </c>
      <c r="Q19" s="1">
        <f t="shared" si="15"/>
        <v>4.5553648068669537</v>
      </c>
      <c r="R19" s="1">
        <f t="shared" si="15"/>
        <v>3.2403433476394854</v>
      </c>
      <c r="S19" s="1">
        <f t="shared" si="15"/>
        <v>2.6600858369098708</v>
      </c>
      <c r="T19" s="1">
        <f t="shared" si="15"/>
        <v>6.0987124463519322</v>
      </c>
      <c r="U19" s="1">
        <f t="shared" si="15"/>
        <v>10.487982832618025</v>
      </c>
      <c r="V19" s="1">
        <f t="shared" si="15"/>
        <v>10.97596566523605</v>
      </c>
      <c r="W19" s="1">
        <f t="shared" si="15"/>
        <v>9.3729613733905577</v>
      </c>
      <c r="X19" s="1">
        <f t="shared" si="15"/>
        <v>9.516309012875535</v>
      </c>
      <c r="Y19" s="1"/>
      <c r="Z19" s="1"/>
      <c r="AA19" s="1">
        <f t="shared" si="15"/>
        <v>6.2742489270386264</v>
      </c>
      <c r="AB19" s="1">
        <f t="shared" si="15"/>
        <v>10.11802575107296</v>
      </c>
      <c r="AC19" s="1">
        <f t="shared" si="15"/>
        <v>5.4072961373390562</v>
      </c>
      <c r="AD19" s="1">
        <f t="shared" si="15"/>
        <v>3.2467811158798283</v>
      </c>
      <c r="AE19" s="1">
        <f t="shared" si="15"/>
        <v>2.8416309012875538</v>
      </c>
      <c r="AF19" s="1">
        <f t="shared" si="15"/>
        <v>5.8862660944206002</v>
      </c>
      <c r="AG19" s="1">
        <f t="shared" si="15"/>
        <v>8.728755364806867</v>
      </c>
      <c r="AH19" s="1">
        <f t="shared" si="15"/>
        <v>10.674248927038624</v>
      </c>
      <c r="AI19" s="1">
        <f t="shared" si="15"/>
        <v>8.7510729613733904</v>
      </c>
      <c r="AJ19" s="1">
        <f t="shared" si="15"/>
        <v>8.3523605150214575</v>
      </c>
      <c r="AK19" s="1"/>
      <c r="AL19" s="1"/>
      <c r="AM19" s="1">
        <f t="shared" si="15"/>
        <v>3.2274678111587982</v>
      </c>
      <c r="AN19" s="1">
        <f t="shared" si="15"/>
        <v>4.1789699570815451</v>
      </c>
      <c r="AO19" s="1">
        <f t="shared" si="15"/>
        <v>2.2969957081545065</v>
      </c>
      <c r="AP19" s="1">
        <f t="shared" si="15"/>
        <v>1.962660944206009</v>
      </c>
      <c r="AQ19" s="1">
        <f t="shared" si="15"/>
        <v>2.0188841201716743</v>
      </c>
      <c r="AR19" s="1">
        <f t="shared" si="15"/>
        <v>2.3866952789699574</v>
      </c>
      <c r="AS19" s="1">
        <f t="shared" si="15"/>
        <v>3.4317596566523605</v>
      </c>
      <c r="AT19" s="1">
        <f t="shared" si="15"/>
        <v>4.1442060085836916</v>
      </c>
      <c r="AU19" s="1">
        <f t="shared" si="15"/>
        <v>5.5317596566523601</v>
      </c>
      <c r="AV19" s="1">
        <f t="shared" si="15"/>
        <v>4.7167381974248928</v>
      </c>
      <c r="AW19" s="1"/>
      <c r="AX19" s="1"/>
      <c r="AY19" s="1">
        <f t="shared" si="15"/>
        <v>2.5600858369098711</v>
      </c>
      <c r="AZ19" s="1">
        <f t="shared" si="15"/>
        <v>4.361802575107296</v>
      </c>
      <c r="BA19" s="1">
        <f t="shared" si="15"/>
        <v>2.4931330472102999</v>
      </c>
      <c r="BB19" s="1">
        <f t="shared" si="15"/>
        <v>2.8386266094420605</v>
      </c>
      <c r="BC19" s="1">
        <f t="shared" si="15"/>
        <v>2.1523605150214591</v>
      </c>
      <c r="BD19" s="1">
        <f t="shared" si="15"/>
        <v>2.4034334763948499</v>
      </c>
      <c r="BE19" s="1">
        <f t="shared" si="15"/>
        <v>2.6545064377682399</v>
      </c>
      <c r="BF19" s="1">
        <f t="shared" si="15"/>
        <v>5.108154506437768</v>
      </c>
      <c r="BG19" s="1">
        <f t="shared" si="15"/>
        <v>5.2124463519313302</v>
      </c>
      <c r="BH19" s="1">
        <f t="shared" si="15"/>
        <v>4.0497854077253219</v>
      </c>
      <c r="BI19" s="1"/>
      <c r="BJ19" s="1"/>
      <c r="BK19" s="1">
        <f t="shared" si="15"/>
        <v>2.9519313304721027</v>
      </c>
      <c r="BL19" s="1">
        <f t="shared" si="15"/>
        <v>4.1390557939914165</v>
      </c>
      <c r="BM19" s="1">
        <f t="shared" si="15"/>
        <v>2.971673819742489</v>
      </c>
      <c r="BN19" s="1">
        <f t="shared" si="15"/>
        <v>2.2463519313304721</v>
      </c>
      <c r="BO19" s="1">
        <f t="shared" si="15"/>
        <v>2.5772532188841195</v>
      </c>
      <c r="BP19" s="1">
        <f t="shared" ref="BP19:BT19" si="16">AVERAGE(BP13:BP17)</f>
        <v>2.2399141630901287</v>
      </c>
      <c r="BQ19" s="1">
        <f t="shared" si="16"/>
        <v>3.469957081545064</v>
      </c>
      <c r="BR19" s="1">
        <f t="shared" si="16"/>
        <v>4.7399141630901287</v>
      </c>
      <c r="BS19" s="1">
        <f t="shared" si="16"/>
        <v>4.7085836909871244</v>
      </c>
      <c r="BT19" s="1">
        <f t="shared" si="16"/>
        <v>4.4193133047210296</v>
      </c>
    </row>
    <row r="20" spans="2:72" x14ac:dyDescent="0.2">
      <c r="B20" t="s">
        <v>109</v>
      </c>
      <c r="M20" t="s">
        <v>121</v>
      </c>
    </row>
    <row r="21" spans="2:72" x14ac:dyDescent="0.2">
      <c r="B21" t="s">
        <v>110</v>
      </c>
      <c r="C21" s="1">
        <f>AVERAGE(C13:C17)</f>
        <v>7.9339055793991422</v>
      </c>
      <c r="D21" s="1">
        <f t="shared" ref="D21:L21" si="17">AVERAGE(D13:D17)</f>
        <v>9.4815450643776824</v>
      </c>
      <c r="E21" s="1">
        <f t="shared" si="17"/>
        <v>5.9639484978540764</v>
      </c>
      <c r="F21" s="1">
        <f t="shared" si="17"/>
        <v>3.2454935622317591</v>
      </c>
      <c r="G21" s="1">
        <f t="shared" si="17"/>
        <v>6.2042918454935627</v>
      </c>
      <c r="H21" s="1">
        <f t="shared" si="17"/>
        <v>5.9493562231759656</v>
      </c>
      <c r="I21" s="1">
        <f t="shared" si="17"/>
        <v>9.2034334763948493</v>
      </c>
      <c r="J21" s="1">
        <f t="shared" si="17"/>
        <v>8.964377682403434</v>
      </c>
      <c r="K21" s="1">
        <f t="shared" si="17"/>
        <v>9.4085836909871237</v>
      </c>
      <c r="L21" s="1">
        <f t="shared" si="17"/>
        <v>8.0776824034334762</v>
      </c>
      <c r="M21" t="s">
        <v>115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72" x14ac:dyDescent="0.2">
      <c r="B22" t="s">
        <v>112</v>
      </c>
      <c r="C22" s="1">
        <f>AVERAGE(O13:O17)</f>
        <v>7.9261802575107296</v>
      </c>
      <c r="D22" s="1">
        <f t="shared" ref="D22:L22" si="18">AVERAGE(P13:P17)</f>
        <v>8.7927038626609448</v>
      </c>
      <c r="E22" s="1">
        <f t="shared" si="18"/>
        <v>4.5553648068669537</v>
      </c>
      <c r="F22" s="1">
        <f t="shared" si="18"/>
        <v>3.2403433476394854</v>
      </c>
      <c r="G22" s="1">
        <f t="shared" si="18"/>
        <v>2.6600858369098708</v>
      </c>
      <c r="H22" s="1">
        <f t="shared" si="18"/>
        <v>6.0987124463519322</v>
      </c>
      <c r="I22" s="1">
        <f t="shared" si="18"/>
        <v>10.487982832618025</v>
      </c>
      <c r="J22" s="1">
        <f t="shared" si="18"/>
        <v>10.97596566523605</v>
      </c>
      <c r="K22" s="1">
        <f t="shared" si="18"/>
        <v>9.3729613733905577</v>
      </c>
      <c r="L22" s="1">
        <f t="shared" si="18"/>
        <v>9.516309012875535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72" x14ac:dyDescent="0.2">
      <c r="B23" t="s">
        <v>113</v>
      </c>
      <c r="C23" s="1">
        <f>AVERAGE(AA13:AA17)</f>
        <v>6.2742489270386264</v>
      </c>
      <c r="D23" s="1">
        <f t="shared" ref="D23:L23" si="19">AVERAGE(AB13:AB17)</f>
        <v>10.11802575107296</v>
      </c>
      <c r="E23" s="1">
        <f t="shared" si="19"/>
        <v>5.4072961373390562</v>
      </c>
      <c r="F23" s="1">
        <f t="shared" si="19"/>
        <v>3.2467811158798283</v>
      </c>
      <c r="G23" s="1">
        <f t="shared" si="19"/>
        <v>2.8416309012875538</v>
      </c>
      <c r="H23" s="1">
        <f t="shared" si="19"/>
        <v>5.8862660944206002</v>
      </c>
      <c r="I23" s="1">
        <f t="shared" si="19"/>
        <v>8.728755364806867</v>
      </c>
      <c r="J23" s="1">
        <f t="shared" si="19"/>
        <v>10.674248927038624</v>
      </c>
      <c r="K23" s="1">
        <f t="shared" si="19"/>
        <v>8.7510729613733904</v>
      </c>
      <c r="L23" s="1">
        <f t="shared" si="19"/>
        <v>8.3523605150214575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72" x14ac:dyDescent="0.2">
      <c r="B24" t="s">
        <v>114</v>
      </c>
      <c r="C24" s="1">
        <f>AVERAGE(AM13:AM17)</f>
        <v>3.2274678111587982</v>
      </c>
      <c r="D24" s="1">
        <f t="shared" ref="D24:L24" si="20">AVERAGE(AN13:AN17)</f>
        <v>4.1789699570815451</v>
      </c>
      <c r="E24" s="1">
        <f t="shared" si="20"/>
        <v>2.2969957081545065</v>
      </c>
      <c r="F24" s="1">
        <f t="shared" si="20"/>
        <v>1.962660944206009</v>
      </c>
      <c r="G24" s="1">
        <f t="shared" si="20"/>
        <v>2.0188841201716743</v>
      </c>
      <c r="H24" s="1">
        <f t="shared" si="20"/>
        <v>2.3866952789699574</v>
      </c>
      <c r="I24" s="1">
        <f t="shared" si="20"/>
        <v>3.4317596566523605</v>
      </c>
      <c r="J24" s="1">
        <f t="shared" si="20"/>
        <v>4.1442060085836916</v>
      </c>
      <c r="K24" s="1">
        <f t="shared" si="20"/>
        <v>5.5317596566523601</v>
      </c>
      <c r="L24" s="1">
        <f t="shared" si="20"/>
        <v>4.7167381974248928</v>
      </c>
      <c r="M24" t="s">
        <v>111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72" x14ac:dyDescent="0.2">
      <c r="B25" t="s">
        <v>116</v>
      </c>
      <c r="C25" s="1">
        <f>AVERAGE(AY13:AY17)</f>
        <v>2.5600858369098711</v>
      </c>
      <c r="D25" s="1">
        <f t="shared" ref="D25:L25" si="21">AVERAGE(AZ13:AZ17)</f>
        <v>4.361802575107296</v>
      </c>
      <c r="E25" s="1">
        <f t="shared" si="21"/>
        <v>2.4931330472102999</v>
      </c>
      <c r="F25" s="1">
        <f t="shared" si="21"/>
        <v>2.8386266094420605</v>
      </c>
      <c r="G25" s="1">
        <f t="shared" si="21"/>
        <v>2.1523605150214591</v>
      </c>
      <c r="H25" s="1">
        <f t="shared" si="21"/>
        <v>2.4034334763948499</v>
      </c>
      <c r="I25" s="1">
        <f t="shared" si="21"/>
        <v>2.6545064377682399</v>
      </c>
      <c r="J25" s="1">
        <f t="shared" si="21"/>
        <v>5.108154506437768</v>
      </c>
      <c r="K25" s="1">
        <f t="shared" si="21"/>
        <v>5.2124463519313302</v>
      </c>
      <c r="L25" s="1">
        <f t="shared" si="21"/>
        <v>4.0497854077253219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72" x14ac:dyDescent="0.2">
      <c r="B26" t="s">
        <v>117</v>
      </c>
      <c r="C26" s="1">
        <f>AVERAGE(BK13:BK17)</f>
        <v>2.9519313304721027</v>
      </c>
      <c r="D26" s="1">
        <f t="shared" ref="D26:L26" si="22">AVERAGE(BL13:BL17)</f>
        <v>4.1390557939914165</v>
      </c>
      <c r="E26" s="1">
        <f t="shared" si="22"/>
        <v>2.971673819742489</v>
      </c>
      <c r="F26" s="1">
        <f t="shared" si="22"/>
        <v>2.2463519313304721</v>
      </c>
      <c r="G26" s="1">
        <f t="shared" si="22"/>
        <v>2.5772532188841195</v>
      </c>
      <c r="H26" s="1">
        <f t="shared" si="22"/>
        <v>2.2399141630901287</v>
      </c>
      <c r="I26" s="1">
        <f t="shared" si="22"/>
        <v>3.469957081545064</v>
      </c>
      <c r="J26" s="1">
        <f t="shared" si="22"/>
        <v>4.7399141630901287</v>
      </c>
      <c r="K26" s="1">
        <f t="shared" si="22"/>
        <v>4.7085836909871244</v>
      </c>
      <c r="L26" s="1">
        <f t="shared" si="22"/>
        <v>4.4193133047210296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72" x14ac:dyDescent="0.2"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</row>
    <row r="28" spans="2:72" x14ac:dyDescent="0.2">
      <c r="C28" t="s">
        <v>118</v>
      </c>
      <c r="H28" t="s">
        <v>119</v>
      </c>
    </row>
    <row r="29" spans="2:72" x14ac:dyDescent="0.2">
      <c r="B29" t="s">
        <v>120</v>
      </c>
    </row>
    <row r="30" spans="2:72" x14ac:dyDescent="0.2">
      <c r="C30" s="1">
        <f t="shared" ref="C30:L30" si="23">AVERAGE(C21:C23)</f>
        <v>7.3781115879828327</v>
      </c>
      <c r="D30" s="1">
        <f t="shared" si="23"/>
        <v>9.4640915593705284</v>
      </c>
      <c r="E30" s="1">
        <f t="shared" si="23"/>
        <v>5.3088698140200288</v>
      </c>
      <c r="F30" s="1">
        <f t="shared" si="23"/>
        <v>3.2442060085836908</v>
      </c>
      <c r="G30" s="1">
        <f t="shared" si="23"/>
        <v>3.9020028612303288</v>
      </c>
      <c r="H30" s="1">
        <f t="shared" si="23"/>
        <v>5.9781115879828333</v>
      </c>
      <c r="I30" s="1">
        <f t="shared" si="23"/>
        <v>9.4733905579399131</v>
      </c>
      <c r="J30" s="1">
        <f t="shared" si="23"/>
        <v>10.20486409155937</v>
      </c>
      <c r="K30" s="1">
        <f t="shared" si="23"/>
        <v>9.1775393419170239</v>
      </c>
      <c r="L30" s="1">
        <f t="shared" si="23"/>
        <v>8.6487839771101562</v>
      </c>
      <c r="M30" t="s">
        <v>115</v>
      </c>
    </row>
    <row r="31" spans="2:72" x14ac:dyDescent="0.2">
      <c r="B31" t="s">
        <v>122</v>
      </c>
      <c r="C31" s="2">
        <f t="shared" ref="C31:L31" si="24">STDEV(C21:C23)</f>
        <v>0.95598091027995724</v>
      </c>
      <c r="D31" s="2">
        <f t="shared" si="24"/>
        <v>0.66283330906327675</v>
      </c>
      <c r="E31" s="2">
        <f t="shared" si="24"/>
        <v>0.70943132822726074</v>
      </c>
      <c r="F31" s="2">
        <f t="shared" si="24"/>
        <v>3.4065467524433367E-3</v>
      </c>
      <c r="G31" s="2">
        <f t="shared" si="24"/>
        <v>1.9959059541709006</v>
      </c>
      <c r="H31" s="2">
        <f t="shared" si="24"/>
        <v>0.10910323719356291</v>
      </c>
      <c r="I31" s="2">
        <f t="shared" si="24"/>
        <v>0.91015270162899642</v>
      </c>
      <c r="J31" s="2">
        <f t="shared" si="24"/>
        <v>1.0848332341897364</v>
      </c>
      <c r="K31" s="2">
        <f t="shared" si="24"/>
        <v>0.36975994601663936</v>
      </c>
      <c r="L31" s="2">
        <f t="shared" si="24"/>
        <v>0.76374850704022734</v>
      </c>
    </row>
    <row r="32" spans="2:72" x14ac:dyDescent="0.2">
      <c r="C32" s="1">
        <f>AVERAGE(C24:C26)</f>
        <v>2.913161659513591</v>
      </c>
      <c r="D32" s="1">
        <f t="shared" ref="D32:L32" si="25">AVERAGE(D24:D26)</f>
        <v>4.2266094420600853</v>
      </c>
      <c r="E32" s="1">
        <f t="shared" si="25"/>
        <v>2.5872675250357653</v>
      </c>
      <c r="F32" s="1">
        <f t="shared" si="25"/>
        <v>2.349213161659514</v>
      </c>
      <c r="G32" s="1">
        <f t="shared" si="25"/>
        <v>2.2494992846924178</v>
      </c>
      <c r="H32" s="1">
        <f t="shared" si="25"/>
        <v>2.3433476394849788</v>
      </c>
      <c r="I32" s="1">
        <f t="shared" si="25"/>
        <v>3.185407725321888</v>
      </c>
      <c r="J32" s="1">
        <f t="shared" si="25"/>
        <v>4.6640915593705294</v>
      </c>
      <c r="K32" s="1">
        <f t="shared" si="25"/>
        <v>5.1509298998569379</v>
      </c>
      <c r="L32" s="1">
        <f t="shared" si="25"/>
        <v>4.395278969957082</v>
      </c>
      <c r="M32" t="s">
        <v>111</v>
      </c>
    </row>
    <row r="33" spans="2:12" x14ac:dyDescent="0.2">
      <c r="B33" t="s">
        <v>122</v>
      </c>
      <c r="C33" s="2">
        <f>STDEV(C24:C26)</f>
        <v>0.33537589422582592</v>
      </c>
      <c r="D33" s="2">
        <f t="shared" ref="D33:L33" si="26">STDEV(D24:D26)</f>
        <v>0.11876940902916387</v>
      </c>
      <c r="E33" s="2">
        <f t="shared" si="26"/>
        <v>0.34704987177722324</v>
      </c>
      <c r="F33" s="2">
        <f t="shared" si="26"/>
        <v>0.44694998176162015</v>
      </c>
      <c r="G33" s="2">
        <f t="shared" si="26"/>
        <v>0.29158355239815581</v>
      </c>
      <c r="H33" s="2">
        <f t="shared" si="26"/>
        <v>8.9966131641866551E-2</v>
      </c>
      <c r="I33" s="2">
        <f t="shared" si="26"/>
        <v>0.46017050498885592</v>
      </c>
      <c r="J33" s="2">
        <f t="shared" si="26"/>
        <v>0.48642674377021783</v>
      </c>
      <c r="K33" s="2">
        <f t="shared" si="26"/>
        <v>0.41502153319928964</v>
      </c>
      <c r="L33" s="2">
        <f t="shared" si="26"/>
        <v>0.33412534004123234</v>
      </c>
    </row>
  </sheetData>
  <conditionalFormatting sqref="C21:L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260122_rom_ttubes_2_pombe_beads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2026-01-23T17:12:06Z</dcterms:created>
  <dcterms:modified xsi:type="dcterms:W3CDTF">2026-02-16T06:10:07Z</dcterms:modified>
</cp:coreProperties>
</file>