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/Documents/Beads Paper/"/>
    </mc:Choice>
  </mc:AlternateContent>
  <xr:revisionPtr revIDLastSave="0" documentId="13_ncr:1_{E4AB5FB3-3677-5644-BFBA-E9723FC009D1}" xr6:coauthVersionLast="47" xr6:coauthVersionMax="47" xr10:uidLastSave="{00000000-0000-0000-0000-000000000000}"/>
  <bookViews>
    <workbookView xWindow="4420" yWindow="600" windowWidth="22040" windowHeight="15580" xr2:uid="{05FFD357-2AB8-4943-ADA2-C8A6E7606064}"/>
  </bookViews>
  <sheets>
    <sheet name="260116_rom_growth_beads_day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9" i="1" l="1"/>
  <c r="Z59" i="1"/>
  <c r="AB59" i="1"/>
  <c r="AD59" i="1"/>
  <c r="X63" i="1"/>
  <c r="Z63" i="1"/>
  <c r="AB63" i="1"/>
  <c r="AD63" i="1"/>
  <c r="V63" i="1"/>
  <c r="V59" i="1"/>
  <c r="V4" i="1"/>
  <c r="AE47" i="1"/>
  <c r="AD47" i="1"/>
  <c r="AC47" i="1"/>
  <c r="AB47" i="1"/>
  <c r="AA47" i="1"/>
  <c r="Z47" i="1"/>
  <c r="Y47" i="1"/>
  <c r="X47" i="1"/>
  <c r="W47" i="1"/>
  <c r="V47" i="1"/>
  <c r="AE46" i="1"/>
  <c r="AD46" i="1"/>
  <c r="AC46" i="1"/>
  <c r="AB46" i="1"/>
  <c r="AA46" i="1"/>
  <c r="Z46" i="1"/>
  <c r="Y46" i="1"/>
  <c r="X46" i="1"/>
  <c r="W46" i="1"/>
  <c r="V46" i="1"/>
  <c r="AE45" i="1"/>
  <c r="AD45" i="1"/>
  <c r="AC45" i="1"/>
  <c r="AB45" i="1"/>
  <c r="AA45" i="1"/>
  <c r="Z45" i="1"/>
  <c r="Y45" i="1"/>
  <c r="X45" i="1"/>
  <c r="W45" i="1"/>
  <c r="V45" i="1"/>
  <c r="AE44" i="1"/>
  <c r="AD44" i="1"/>
  <c r="AC44" i="1"/>
  <c r="AB44" i="1"/>
  <c r="AA44" i="1"/>
  <c r="Z44" i="1"/>
  <c r="Y44" i="1"/>
  <c r="X44" i="1"/>
  <c r="W44" i="1"/>
  <c r="V44" i="1"/>
  <c r="AE43" i="1"/>
  <c r="AD43" i="1"/>
  <c r="AC43" i="1"/>
  <c r="AB43" i="1"/>
  <c r="AA43" i="1"/>
  <c r="Z43" i="1"/>
  <c r="Y43" i="1"/>
  <c r="X43" i="1"/>
  <c r="W43" i="1"/>
  <c r="V43" i="1"/>
  <c r="AE42" i="1"/>
  <c r="AD42" i="1"/>
  <c r="AC42" i="1"/>
  <c r="AB42" i="1"/>
  <c r="AA42" i="1"/>
  <c r="Z42" i="1"/>
  <c r="Y42" i="1"/>
  <c r="X42" i="1"/>
  <c r="W42" i="1"/>
  <c r="V42" i="1"/>
  <c r="AE41" i="1"/>
  <c r="AD41" i="1"/>
  <c r="AC41" i="1"/>
  <c r="AB41" i="1"/>
  <c r="AA41" i="1"/>
  <c r="Z41" i="1"/>
  <c r="Y41" i="1"/>
  <c r="X41" i="1"/>
  <c r="W41" i="1"/>
  <c r="V41" i="1"/>
  <c r="AE40" i="1"/>
  <c r="AD40" i="1"/>
  <c r="AC40" i="1"/>
  <c r="AB40" i="1"/>
  <c r="AA40" i="1"/>
  <c r="Z40" i="1"/>
  <c r="Y40" i="1"/>
  <c r="X40" i="1"/>
  <c r="W40" i="1"/>
  <c r="V40" i="1"/>
  <c r="AE38" i="1"/>
  <c r="AD38" i="1"/>
  <c r="AC38" i="1"/>
  <c r="AB38" i="1"/>
  <c r="AA38" i="1"/>
  <c r="Z38" i="1"/>
  <c r="Y38" i="1"/>
  <c r="X38" i="1"/>
  <c r="W38" i="1"/>
  <c r="V38" i="1"/>
  <c r="AE37" i="1"/>
  <c r="AD37" i="1"/>
  <c r="AC37" i="1"/>
  <c r="AB37" i="1"/>
  <c r="AA37" i="1"/>
  <c r="Z37" i="1"/>
  <c r="Y37" i="1"/>
  <c r="X37" i="1"/>
  <c r="W37" i="1"/>
  <c r="V37" i="1"/>
  <c r="AE36" i="1"/>
  <c r="AD36" i="1"/>
  <c r="AC36" i="1"/>
  <c r="AB36" i="1"/>
  <c r="AA36" i="1"/>
  <c r="Z36" i="1"/>
  <c r="Y36" i="1"/>
  <c r="X36" i="1"/>
  <c r="W36" i="1"/>
  <c r="V36" i="1"/>
  <c r="AE35" i="1"/>
  <c r="AD35" i="1"/>
  <c r="AC35" i="1"/>
  <c r="AB35" i="1"/>
  <c r="AA35" i="1"/>
  <c r="Z35" i="1"/>
  <c r="Y35" i="1"/>
  <c r="X35" i="1"/>
  <c r="W35" i="1"/>
  <c r="V35" i="1"/>
  <c r="AE34" i="1"/>
  <c r="AD34" i="1"/>
  <c r="AC34" i="1"/>
  <c r="AB34" i="1"/>
  <c r="AA34" i="1"/>
  <c r="Z34" i="1"/>
  <c r="Y34" i="1"/>
  <c r="X34" i="1"/>
  <c r="W34" i="1"/>
  <c r="V34" i="1"/>
  <c r="AE33" i="1"/>
  <c r="AD33" i="1"/>
  <c r="AC33" i="1"/>
  <c r="AB33" i="1"/>
  <c r="AA33" i="1"/>
  <c r="Z33" i="1"/>
  <c r="Y33" i="1"/>
  <c r="X33" i="1"/>
  <c r="W33" i="1"/>
  <c r="V33" i="1"/>
  <c r="AE32" i="1"/>
  <c r="AD32" i="1"/>
  <c r="AC32" i="1"/>
  <c r="AB32" i="1"/>
  <c r="AA32" i="1"/>
  <c r="Z32" i="1"/>
  <c r="Y32" i="1"/>
  <c r="X32" i="1"/>
  <c r="W32" i="1"/>
  <c r="V32" i="1"/>
  <c r="AE31" i="1"/>
  <c r="AD31" i="1"/>
  <c r="AC31" i="1"/>
  <c r="AB31" i="1"/>
  <c r="AA31" i="1"/>
  <c r="Z31" i="1"/>
  <c r="Y31" i="1"/>
  <c r="X31" i="1"/>
  <c r="W31" i="1"/>
  <c r="V31" i="1"/>
  <c r="AE29" i="1"/>
  <c r="AD29" i="1"/>
  <c r="AC29" i="1"/>
  <c r="AB29" i="1"/>
  <c r="AA29" i="1"/>
  <c r="Z29" i="1"/>
  <c r="Y29" i="1"/>
  <c r="X29" i="1"/>
  <c r="W29" i="1"/>
  <c r="V29" i="1"/>
  <c r="AE28" i="1"/>
  <c r="AD28" i="1"/>
  <c r="AC28" i="1"/>
  <c r="AB28" i="1"/>
  <c r="AA28" i="1"/>
  <c r="Z28" i="1"/>
  <c r="Y28" i="1"/>
  <c r="X28" i="1"/>
  <c r="W28" i="1"/>
  <c r="V28" i="1"/>
  <c r="AE27" i="1"/>
  <c r="AD27" i="1"/>
  <c r="AC27" i="1"/>
  <c r="AB27" i="1"/>
  <c r="AA27" i="1"/>
  <c r="Z27" i="1"/>
  <c r="Y27" i="1"/>
  <c r="X27" i="1"/>
  <c r="W27" i="1"/>
  <c r="V27" i="1"/>
  <c r="AE26" i="1"/>
  <c r="AD26" i="1"/>
  <c r="AC26" i="1"/>
  <c r="AB26" i="1"/>
  <c r="AA26" i="1"/>
  <c r="Z26" i="1"/>
  <c r="Y26" i="1"/>
  <c r="X26" i="1"/>
  <c r="W26" i="1"/>
  <c r="V26" i="1"/>
  <c r="AE25" i="1"/>
  <c r="AD25" i="1"/>
  <c r="AC25" i="1"/>
  <c r="AB25" i="1"/>
  <c r="AA25" i="1"/>
  <c r="Z25" i="1"/>
  <c r="Y25" i="1"/>
  <c r="X25" i="1"/>
  <c r="W25" i="1"/>
  <c r="V25" i="1"/>
  <c r="AE24" i="1"/>
  <c r="AD24" i="1"/>
  <c r="AC24" i="1"/>
  <c r="AB24" i="1"/>
  <c r="AA24" i="1"/>
  <c r="Z24" i="1"/>
  <c r="Y24" i="1"/>
  <c r="X24" i="1"/>
  <c r="W24" i="1"/>
  <c r="V24" i="1"/>
  <c r="AE23" i="1"/>
  <c r="AD23" i="1"/>
  <c r="AC23" i="1"/>
  <c r="AB23" i="1"/>
  <c r="AA23" i="1"/>
  <c r="Z23" i="1"/>
  <c r="Y23" i="1"/>
  <c r="X23" i="1"/>
  <c r="W23" i="1"/>
  <c r="V23" i="1"/>
  <c r="AE22" i="1"/>
  <c r="AD22" i="1"/>
  <c r="AC22" i="1"/>
  <c r="AB22" i="1"/>
  <c r="AA22" i="1"/>
  <c r="Z22" i="1"/>
  <c r="Y22" i="1"/>
  <c r="X22" i="1"/>
  <c r="W22" i="1"/>
  <c r="V22" i="1"/>
  <c r="AE20" i="1"/>
  <c r="AD20" i="1"/>
  <c r="AC20" i="1"/>
  <c r="AB20" i="1"/>
  <c r="AA20" i="1"/>
  <c r="Z20" i="1"/>
  <c r="Y20" i="1"/>
  <c r="X20" i="1"/>
  <c r="W20" i="1"/>
  <c r="V20" i="1"/>
  <c r="AE19" i="1"/>
  <c r="AD19" i="1"/>
  <c r="AC19" i="1"/>
  <c r="AB19" i="1"/>
  <c r="AA19" i="1"/>
  <c r="Z19" i="1"/>
  <c r="Y19" i="1"/>
  <c r="X19" i="1"/>
  <c r="W19" i="1"/>
  <c r="V19" i="1"/>
  <c r="AE18" i="1"/>
  <c r="AD18" i="1"/>
  <c r="AC18" i="1"/>
  <c r="AB18" i="1"/>
  <c r="AA18" i="1"/>
  <c r="Z18" i="1"/>
  <c r="Y18" i="1"/>
  <c r="X18" i="1"/>
  <c r="W18" i="1"/>
  <c r="V18" i="1"/>
  <c r="AE17" i="1"/>
  <c r="AD17" i="1"/>
  <c r="AC17" i="1"/>
  <c r="AB17" i="1"/>
  <c r="AA17" i="1"/>
  <c r="Z17" i="1"/>
  <c r="Y17" i="1"/>
  <c r="X17" i="1"/>
  <c r="W17" i="1"/>
  <c r="V17" i="1"/>
  <c r="AE16" i="1"/>
  <c r="AD16" i="1"/>
  <c r="AC16" i="1"/>
  <c r="AB16" i="1"/>
  <c r="AA16" i="1"/>
  <c r="Z16" i="1"/>
  <c r="Y16" i="1"/>
  <c r="X16" i="1"/>
  <c r="W16" i="1"/>
  <c r="V16" i="1"/>
  <c r="AE15" i="1"/>
  <c r="AD15" i="1"/>
  <c r="AC15" i="1"/>
  <c r="AB15" i="1"/>
  <c r="AA15" i="1"/>
  <c r="Z15" i="1"/>
  <c r="Y15" i="1"/>
  <c r="X15" i="1"/>
  <c r="W15" i="1"/>
  <c r="V15" i="1"/>
  <c r="AE14" i="1"/>
  <c r="AD14" i="1"/>
  <c r="AC14" i="1"/>
  <c r="AB14" i="1"/>
  <c r="AA14" i="1"/>
  <c r="Z14" i="1"/>
  <c r="Y14" i="1"/>
  <c r="X14" i="1"/>
  <c r="W14" i="1"/>
  <c r="V14" i="1"/>
  <c r="AE13" i="1"/>
  <c r="AD13" i="1"/>
  <c r="AC13" i="1"/>
  <c r="AB13" i="1"/>
  <c r="AA13" i="1"/>
  <c r="Z13" i="1"/>
  <c r="Y13" i="1"/>
  <c r="X13" i="1"/>
  <c r="W13" i="1"/>
  <c r="V13" i="1"/>
  <c r="AE11" i="1"/>
  <c r="AD11" i="1"/>
  <c r="AC11" i="1"/>
  <c r="AB11" i="1"/>
  <c r="AA11" i="1"/>
  <c r="Z11" i="1"/>
  <c r="Y11" i="1"/>
  <c r="X11" i="1"/>
  <c r="W11" i="1"/>
  <c r="V11" i="1"/>
  <c r="AE10" i="1"/>
  <c r="AD10" i="1"/>
  <c r="AC10" i="1"/>
  <c r="AB10" i="1"/>
  <c r="AA10" i="1"/>
  <c r="Z10" i="1"/>
  <c r="Y10" i="1"/>
  <c r="X10" i="1"/>
  <c r="W10" i="1"/>
  <c r="V10" i="1"/>
  <c r="AE9" i="1"/>
  <c r="AD9" i="1"/>
  <c r="AC9" i="1"/>
  <c r="AB9" i="1"/>
  <c r="AA9" i="1"/>
  <c r="Z9" i="1"/>
  <c r="Y9" i="1"/>
  <c r="X9" i="1"/>
  <c r="W9" i="1"/>
  <c r="V9" i="1"/>
  <c r="AE8" i="1"/>
  <c r="AD8" i="1"/>
  <c r="AC8" i="1"/>
  <c r="AB8" i="1"/>
  <c r="AA8" i="1"/>
  <c r="Z8" i="1"/>
  <c r="Y8" i="1"/>
  <c r="X8" i="1"/>
  <c r="W8" i="1"/>
  <c r="V8" i="1"/>
  <c r="AE7" i="1"/>
  <c r="AD7" i="1"/>
  <c r="AC7" i="1"/>
  <c r="AB7" i="1"/>
  <c r="AA7" i="1"/>
  <c r="Z7" i="1"/>
  <c r="Y7" i="1"/>
  <c r="X7" i="1"/>
  <c r="W7" i="1"/>
  <c r="V7" i="1"/>
  <c r="AE6" i="1"/>
  <c r="AD6" i="1"/>
  <c r="AC6" i="1"/>
  <c r="AB6" i="1"/>
  <c r="AA6" i="1"/>
  <c r="Z6" i="1"/>
  <c r="Y6" i="1"/>
  <c r="X6" i="1"/>
  <c r="W6" i="1"/>
  <c r="V6" i="1"/>
  <c r="AE5" i="1"/>
  <c r="AD5" i="1"/>
  <c r="AC5" i="1"/>
  <c r="AB5" i="1"/>
  <c r="AA5" i="1"/>
  <c r="Z5" i="1"/>
  <c r="Y5" i="1"/>
  <c r="X5" i="1"/>
  <c r="W5" i="1"/>
  <c r="V5" i="1"/>
  <c r="AE4" i="1"/>
  <c r="AD4" i="1"/>
  <c r="AC4" i="1"/>
  <c r="AB4" i="1"/>
  <c r="AA4" i="1"/>
  <c r="Z4" i="1"/>
  <c r="Y4" i="1"/>
  <c r="X4" i="1"/>
  <c r="W4" i="1"/>
  <c r="AC55" i="1" l="1"/>
  <c r="V51" i="1"/>
  <c r="Z53" i="1"/>
  <c r="AD55" i="1"/>
  <c r="AE51" i="1"/>
  <c r="AE55" i="1"/>
  <c r="AB49" i="1"/>
  <c r="Z50" i="1"/>
  <c r="X51" i="1"/>
  <c r="V52" i="1"/>
  <c r="AD52" i="1"/>
  <c r="AB53" i="1"/>
  <c r="Z54" i="1"/>
  <c r="X55" i="1"/>
  <c r="V56" i="1"/>
  <c r="AD56" i="1"/>
  <c r="AC50" i="1"/>
  <c r="W53" i="1"/>
  <c r="Y56" i="1"/>
  <c r="Y49" i="1"/>
  <c r="W50" i="1"/>
  <c r="AC51" i="1"/>
  <c r="AE54" i="1"/>
  <c r="Z49" i="1"/>
  <c r="X50" i="1"/>
  <c r="AD51" i="1"/>
  <c r="AB52" i="1"/>
  <c r="X54" i="1"/>
  <c r="V55" i="1"/>
  <c r="AB56" i="1"/>
  <c r="Y50" i="1"/>
  <c r="AC56" i="1"/>
  <c r="AC49" i="1"/>
  <c r="AA50" i="1"/>
  <c r="Y51" i="1"/>
  <c r="W52" i="1"/>
  <c r="AE52" i="1"/>
  <c r="AC53" i="1"/>
  <c r="AA54" i="1"/>
  <c r="Y55" i="1"/>
  <c r="W56" i="1"/>
  <c r="AE56" i="1"/>
  <c r="W49" i="1"/>
  <c r="AE49" i="1"/>
  <c r="AA51" i="1"/>
  <c r="Y52" i="1"/>
  <c r="AE53" i="1"/>
  <c r="AC54" i="1"/>
  <c r="AA55" i="1"/>
  <c r="X49" i="1"/>
  <c r="V50" i="1"/>
  <c r="AD50" i="1"/>
  <c r="AB51" i="1"/>
  <c r="Z52" i="1"/>
  <c r="X53" i="1"/>
  <c r="V54" i="1"/>
  <c r="AD54" i="1"/>
  <c r="AB55" i="1"/>
  <c r="Z56" i="1"/>
  <c r="AE50" i="1"/>
  <c r="AA52" i="1"/>
  <c r="Y53" i="1"/>
  <c r="W54" i="1"/>
  <c r="AA56" i="1"/>
  <c r="AA49" i="1"/>
  <c r="W51" i="1"/>
  <c r="AC52" i="1"/>
  <c r="AA53" i="1"/>
  <c r="Y54" i="1"/>
  <c r="W55" i="1"/>
  <c r="V49" i="1"/>
  <c r="V58" i="1" s="1"/>
  <c r="AD49" i="1"/>
  <c r="AD58" i="1" s="1"/>
  <c r="AB50" i="1"/>
  <c r="Z51" i="1"/>
  <c r="X52" i="1"/>
  <c r="V53" i="1"/>
  <c r="AD53" i="1"/>
  <c r="AB54" i="1"/>
  <c r="Z55" i="1"/>
  <c r="X56" i="1"/>
  <c r="AB58" i="1" l="1"/>
  <c r="AB62" i="1"/>
  <c r="Z58" i="1"/>
  <c r="AD62" i="1"/>
  <c r="V62" i="1"/>
  <c r="Z62" i="1"/>
  <c r="X62" i="1"/>
  <c r="X58" i="1"/>
</calcChain>
</file>

<file path=xl/sharedStrings.xml><?xml version="1.0" encoding="utf-8"?>
<sst xmlns="http://schemas.openxmlformats.org/spreadsheetml/2006/main" count="32" uniqueCount="23">
  <si>
    <t>##BLOCKS= 1</t>
  </si>
  <si>
    <t>Plate:</t>
  </si>
  <si>
    <t>Plate1</t>
  </si>
  <si>
    <t>PlateFormat</t>
  </si>
  <si>
    <t>Well Scan</t>
  </si>
  <si>
    <t>Absorbance</t>
  </si>
  <si>
    <t>Raw</t>
  </si>
  <si>
    <t>Horizontal Line</t>
  </si>
  <si>
    <t>Temperature(¡C)</t>
  </si>
  <si>
    <t>~End</t>
  </si>
  <si>
    <t>Original Filename: 260116_rom_growth_beads_day2; Date Last Saved: 1/16/2026 8:28:17 AM</t>
  </si>
  <si>
    <t>2. These are the Ods averaged out!</t>
  </si>
  <si>
    <t>3. Now, I will get the average for each section.</t>
  </si>
  <si>
    <t>WT + EV</t>
  </si>
  <si>
    <t>dea2^ + EV</t>
  </si>
  <si>
    <t>1mm</t>
  </si>
  <si>
    <t>1.5mm</t>
  </si>
  <si>
    <t>3mm</t>
  </si>
  <si>
    <t>4.5mm</t>
  </si>
  <si>
    <t>NO bead</t>
  </si>
  <si>
    <t>1. Turn all the ABS into Ods with the linear regression.</t>
  </si>
  <si>
    <t>stdev</t>
  </si>
  <si>
    <t>SP286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</si>
</sst>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indexed="8"/>
      <name val="Aptos Narrow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2" fontId="0" fillId="0" borderId="0" xfId="0" applyNumberFormat="1"/>
    <xf numFmtId="2" fontId="18" fillId="0" borderId="10" xfId="0" applyNumberFormat="1" applyFont="1" applyBorder="1"/>
    <xf numFmtId="2" fontId="18" fillId="0" borderId="11" xfId="0" applyNumberFormat="1" applyFont="1" applyBorder="1"/>
    <xf numFmtId="2" fontId="18" fillId="0" borderId="12" xfId="0" applyNumberFormat="1" applyFont="1" applyBorder="1"/>
    <xf numFmtId="2" fontId="18" fillId="0" borderId="13" xfId="0" applyNumberFormat="1" applyFont="1" applyBorder="1"/>
    <xf numFmtId="2" fontId="18" fillId="0" borderId="14" xfId="0" applyNumberFormat="1" applyFont="1" applyBorder="1"/>
    <xf numFmtId="2" fontId="18" fillId="0" borderId="15" xfId="0" applyNumberFormat="1" applyFont="1" applyBorder="1"/>
    <xf numFmtId="164" fontId="0" fillId="0" borderId="13" xfId="0" applyNumberFormat="1" applyBorder="1"/>
    <xf numFmtId="164" fontId="0" fillId="0" borderId="14" xfId="0" applyNumberFormat="1" applyBorder="1"/>
    <xf numFmtId="2" fontId="0" fillId="0" borderId="10" xfId="0" applyNumberFormat="1" applyBorder="1"/>
    <xf numFmtId="2" fontId="18" fillId="0" borderId="0" xfId="0" applyNumberFormat="1" applyFont="1"/>
    <xf numFmtId="164" fontId="0" fillId="0" borderId="0" xfId="0" applyNumberFormat="1"/>
    <xf numFmtId="0" fontId="19" fillId="0" borderId="0" xfId="0" applyFont="1"/>
    <xf numFmtId="2" fontId="18" fillId="0" borderId="17" xfId="0" applyNumberFormat="1" applyFont="1" applyBorder="1"/>
    <xf numFmtId="2" fontId="18" fillId="0" borderId="18" xfId="0" applyNumberFormat="1" applyFont="1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164" fontId="0" fillId="0" borderId="17" xfId="0" applyNumberFormat="1" applyBorder="1"/>
    <xf numFmtId="164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0" borderId="16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58A7-9158-FD4E-A0DA-796261586161}">
  <dimension ref="A1:AG125"/>
  <sheetViews>
    <sheetView tabSelected="1" topLeftCell="R51" zoomScale="111" zoomScaleNormal="100" workbookViewId="0">
      <selection activeCell="T65" sqref="T65"/>
    </sheetView>
  </sheetViews>
  <sheetFormatPr baseColWidth="10" defaultRowHeight="16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>
        <v>1.3</v>
      </c>
      <c r="D2" t="s">
        <v>3</v>
      </c>
      <c r="E2" t="s">
        <v>4</v>
      </c>
      <c r="F2" t="s">
        <v>5</v>
      </c>
      <c r="G2" t="s">
        <v>6</v>
      </c>
      <c r="H2" t="b">
        <v>0</v>
      </c>
      <c r="I2">
        <v>5</v>
      </c>
      <c r="J2" t="s">
        <v>7</v>
      </c>
      <c r="K2">
        <v>5</v>
      </c>
      <c r="O2">
        <v>1</v>
      </c>
      <c r="P2">
        <v>595</v>
      </c>
      <c r="Q2">
        <v>1</v>
      </c>
      <c r="R2">
        <v>10</v>
      </c>
      <c r="S2">
        <v>96</v>
      </c>
      <c r="T2">
        <v>1</v>
      </c>
      <c r="U2">
        <v>8</v>
      </c>
      <c r="V2" t="s">
        <v>20</v>
      </c>
    </row>
    <row r="3" spans="1:33" x14ac:dyDescent="0.2">
      <c r="B3" t="s">
        <v>8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V3">
        <v>1</v>
      </c>
      <c r="W3">
        <v>2</v>
      </c>
      <c r="X3">
        <v>3</v>
      </c>
      <c r="Y3">
        <v>4</v>
      </c>
      <c r="Z3">
        <v>5</v>
      </c>
      <c r="AA3">
        <v>6</v>
      </c>
      <c r="AB3">
        <v>7</v>
      </c>
      <c r="AC3">
        <v>8</v>
      </c>
      <c r="AD3">
        <v>9</v>
      </c>
      <c r="AE3">
        <v>10</v>
      </c>
    </row>
    <row r="4" spans="1:33" x14ac:dyDescent="0.2">
      <c r="A4">
        <v>1</v>
      </c>
      <c r="B4">
        <v>29.8</v>
      </c>
      <c r="C4">
        <v>0.1469</v>
      </c>
      <c r="D4">
        <v>0.14349999999999999</v>
      </c>
      <c r="E4">
        <v>0.1507</v>
      </c>
      <c r="F4">
        <v>0.14280000000000001</v>
      </c>
      <c r="G4">
        <v>0.20930000000000001</v>
      </c>
      <c r="H4">
        <v>0.20369999999999999</v>
      </c>
      <c r="I4">
        <v>0.22059999999999999</v>
      </c>
      <c r="J4">
        <v>0.20610000000000001</v>
      </c>
      <c r="K4">
        <v>8.5800000000000001E-2</v>
      </c>
      <c r="L4">
        <v>8.5400000000000004E-2</v>
      </c>
      <c r="V4" s="1">
        <f>(C4-0.06674)/0.0466</f>
        <v>1.7201716738197426</v>
      </c>
      <c r="W4" s="1">
        <f t="shared" ref="W4:AE11" si="0">(D4-0.06674)/0.0466</f>
        <v>1.6472103004291843</v>
      </c>
      <c r="X4" s="1">
        <f t="shared" si="0"/>
        <v>1.8017167381974248</v>
      </c>
      <c r="Y4" s="1">
        <f t="shared" si="0"/>
        <v>1.6321888412017169</v>
      </c>
      <c r="Z4" s="1">
        <f t="shared" si="0"/>
        <v>3.0592274678111591</v>
      </c>
      <c r="AA4" s="1">
        <f t="shared" si="0"/>
        <v>2.9390557939914159</v>
      </c>
      <c r="AB4" s="1">
        <f t="shared" si="0"/>
        <v>3.3017167381974248</v>
      </c>
      <c r="AC4" s="1">
        <f t="shared" si="0"/>
        <v>2.9905579399141633</v>
      </c>
      <c r="AD4" s="1">
        <f t="shared" si="0"/>
        <v>0.4090128755364808</v>
      </c>
      <c r="AE4" s="1">
        <f t="shared" si="0"/>
        <v>0.40042918454935639</v>
      </c>
      <c r="AF4" s="1"/>
      <c r="AG4" s="1"/>
    </row>
    <row r="5" spans="1:33" x14ac:dyDescent="0.2">
      <c r="C5">
        <v>0.13239999999999999</v>
      </c>
      <c r="D5">
        <v>0.14169999999999999</v>
      </c>
      <c r="E5">
        <v>0.15</v>
      </c>
      <c r="F5">
        <v>0.15329999999999999</v>
      </c>
      <c r="G5">
        <v>0.24</v>
      </c>
      <c r="H5">
        <v>0.21049999999999999</v>
      </c>
      <c r="I5">
        <v>0.27079999999999999</v>
      </c>
      <c r="J5">
        <v>0.22500000000000001</v>
      </c>
      <c r="K5">
        <v>9.1899999999999996E-2</v>
      </c>
      <c r="L5">
        <v>8.6699999999999999E-2</v>
      </c>
      <c r="V5" s="1">
        <f t="shared" ref="V5:V11" si="1">(C5-0.06674)/0.0466</f>
        <v>1.4090128755364806</v>
      </c>
      <c r="W5" s="1">
        <f t="shared" si="0"/>
        <v>1.6085836909871243</v>
      </c>
      <c r="X5" s="1">
        <f t="shared" si="0"/>
        <v>1.7866952789699571</v>
      </c>
      <c r="Y5" s="1">
        <f t="shared" si="0"/>
        <v>1.8575107296137339</v>
      </c>
      <c r="Z5" s="1">
        <f t="shared" si="0"/>
        <v>3.7180257510729611</v>
      </c>
      <c r="AA5" s="1">
        <f t="shared" si="0"/>
        <v>3.0849785407725321</v>
      </c>
      <c r="AB5" s="1">
        <f t="shared" si="0"/>
        <v>4.3789699570815444</v>
      </c>
      <c r="AC5" s="1">
        <f t="shared" si="0"/>
        <v>3.3961373390557941</v>
      </c>
      <c r="AD5" s="1">
        <f t="shared" si="0"/>
        <v>0.53991416309012874</v>
      </c>
      <c r="AE5" s="1">
        <f t="shared" si="0"/>
        <v>0.42832618025751085</v>
      </c>
      <c r="AF5" s="1"/>
      <c r="AG5" s="1"/>
    </row>
    <row r="6" spans="1:33" x14ac:dyDescent="0.2">
      <c r="C6">
        <v>0.1857</v>
      </c>
      <c r="D6">
        <v>0.1401</v>
      </c>
      <c r="E6">
        <v>0.14369999999999999</v>
      </c>
      <c r="F6">
        <v>0.1356</v>
      </c>
      <c r="G6">
        <v>0.1971</v>
      </c>
      <c r="H6">
        <v>0.18179999999999999</v>
      </c>
      <c r="I6">
        <v>0.20230000000000001</v>
      </c>
      <c r="J6">
        <v>0.20519999999999999</v>
      </c>
      <c r="K6">
        <v>8.7800000000000003E-2</v>
      </c>
      <c r="L6">
        <v>8.5400000000000004E-2</v>
      </c>
      <c r="V6" s="1">
        <f t="shared" si="1"/>
        <v>2.5527896995708157</v>
      </c>
      <c r="W6" s="1">
        <f t="shared" si="0"/>
        <v>1.5742489270386266</v>
      </c>
      <c r="X6" s="1">
        <f t="shared" si="0"/>
        <v>1.6515021459227468</v>
      </c>
      <c r="Y6" s="1">
        <f t="shared" si="0"/>
        <v>1.4776824034334763</v>
      </c>
      <c r="Z6" s="1">
        <f t="shared" si="0"/>
        <v>2.7974248927038627</v>
      </c>
      <c r="AA6" s="1">
        <f t="shared" si="0"/>
        <v>2.4690987124463515</v>
      </c>
      <c r="AB6" s="1">
        <f t="shared" si="0"/>
        <v>2.9090128755364808</v>
      </c>
      <c r="AC6" s="1">
        <f t="shared" si="0"/>
        <v>2.9712446351931328</v>
      </c>
      <c r="AD6" s="1">
        <f t="shared" si="0"/>
        <v>0.45193133047210315</v>
      </c>
      <c r="AE6" s="1">
        <f t="shared" si="0"/>
        <v>0.40042918454935639</v>
      </c>
      <c r="AF6" s="1"/>
      <c r="AG6" s="1"/>
    </row>
    <row r="7" spans="1:33" x14ac:dyDescent="0.2">
      <c r="C7">
        <v>0.14030000000000001</v>
      </c>
      <c r="D7">
        <v>0.1489</v>
      </c>
      <c r="E7">
        <v>0.14000000000000001</v>
      </c>
      <c r="F7">
        <v>0.13270000000000001</v>
      </c>
      <c r="G7">
        <v>0.19689999999999999</v>
      </c>
      <c r="H7">
        <v>0.1744</v>
      </c>
      <c r="I7">
        <v>0.1797</v>
      </c>
      <c r="J7">
        <v>0.20380000000000001</v>
      </c>
      <c r="K7">
        <v>8.5000000000000006E-2</v>
      </c>
      <c r="L7">
        <v>8.5400000000000004E-2</v>
      </c>
      <c r="V7" s="1">
        <f t="shared" si="1"/>
        <v>1.5785407725321892</v>
      </c>
      <c r="W7" s="1">
        <f t="shared" si="0"/>
        <v>1.7630901287553649</v>
      </c>
      <c r="X7" s="1">
        <f t="shared" si="0"/>
        <v>1.5721030042918458</v>
      </c>
      <c r="Y7" s="1">
        <f t="shared" si="0"/>
        <v>1.4154506437768244</v>
      </c>
      <c r="Z7" s="1">
        <f t="shared" si="0"/>
        <v>2.7931330472103002</v>
      </c>
      <c r="AA7" s="1">
        <f t="shared" si="0"/>
        <v>2.3103004291845495</v>
      </c>
      <c r="AB7" s="1">
        <f t="shared" si="0"/>
        <v>2.4240343347639484</v>
      </c>
      <c r="AC7" s="1">
        <f t="shared" si="0"/>
        <v>2.9412017167381976</v>
      </c>
      <c r="AD7" s="1">
        <f t="shared" si="0"/>
        <v>0.39184549356223203</v>
      </c>
      <c r="AE7" s="1">
        <f t="shared" si="0"/>
        <v>0.40042918454935639</v>
      </c>
      <c r="AF7" s="1"/>
      <c r="AG7" s="1"/>
    </row>
    <row r="8" spans="1:33" x14ac:dyDescent="0.2">
      <c r="C8">
        <v>0.111</v>
      </c>
      <c r="D8">
        <v>0.11559999999999999</v>
      </c>
      <c r="E8">
        <v>0.15129999999999999</v>
      </c>
      <c r="F8">
        <v>0.14560000000000001</v>
      </c>
      <c r="G8">
        <v>0.1641</v>
      </c>
      <c r="H8">
        <v>0.17810000000000001</v>
      </c>
      <c r="I8">
        <v>0.19320000000000001</v>
      </c>
      <c r="J8">
        <v>0.1711</v>
      </c>
      <c r="K8">
        <v>8.6900000000000005E-2</v>
      </c>
      <c r="L8">
        <v>8.8200000000000001E-2</v>
      </c>
      <c r="V8" s="1">
        <f t="shared" si="1"/>
        <v>0.94978540772532205</v>
      </c>
      <c r="W8" s="1">
        <f t="shared" si="0"/>
        <v>1.0484978540772532</v>
      </c>
      <c r="X8" s="1">
        <f t="shared" si="0"/>
        <v>1.8145922746781113</v>
      </c>
      <c r="Y8" s="1">
        <f t="shared" si="0"/>
        <v>1.6922746781115883</v>
      </c>
      <c r="Z8" s="1">
        <f t="shared" si="0"/>
        <v>2.0892703862660942</v>
      </c>
      <c r="AA8" s="1">
        <f t="shared" si="0"/>
        <v>2.3896995708154507</v>
      </c>
      <c r="AB8" s="1">
        <f t="shared" si="0"/>
        <v>2.7137339055793994</v>
      </c>
      <c r="AC8" s="1">
        <f t="shared" si="0"/>
        <v>2.2394849785407724</v>
      </c>
      <c r="AD8" s="1">
        <f t="shared" si="0"/>
        <v>0.43261802575107317</v>
      </c>
      <c r="AE8" s="1">
        <f t="shared" si="0"/>
        <v>0.46051502145922757</v>
      </c>
      <c r="AF8" s="1"/>
      <c r="AG8" s="1"/>
    </row>
    <row r="9" spans="1:33" x14ac:dyDescent="0.2">
      <c r="C9">
        <v>0.1069</v>
      </c>
      <c r="D9">
        <v>0.1074</v>
      </c>
      <c r="E9">
        <v>0.1198</v>
      </c>
      <c r="F9">
        <v>0.12470000000000001</v>
      </c>
      <c r="G9">
        <v>0.14680000000000001</v>
      </c>
      <c r="H9">
        <v>0.15820000000000001</v>
      </c>
      <c r="I9">
        <v>0.17</v>
      </c>
      <c r="J9">
        <v>0.16059999999999999</v>
      </c>
      <c r="K9">
        <v>9.0300000000000005E-2</v>
      </c>
      <c r="L9">
        <v>8.5000000000000006E-2</v>
      </c>
      <c r="V9" s="1">
        <f t="shared" si="1"/>
        <v>0.86180257510729608</v>
      </c>
      <c r="W9" s="1">
        <f t="shared" si="0"/>
        <v>0.87253218884120176</v>
      </c>
      <c r="X9" s="1">
        <f t="shared" si="0"/>
        <v>1.1386266094420603</v>
      </c>
      <c r="Y9" s="1">
        <f t="shared" si="0"/>
        <v>1.243776824034335</v>
      </c>
      <c r="Z9" s="1">
        <f t="shared" si="0"/>
        <v>1.7180257510729617</v>
      </c>
      <c r="AA9" s="1">
        <f t="shared" si="0"/>
        <v>1.9626609442060088</v>
      </c>
      <c r="AB9" s="1">
        <f t="shared" si="0"/>
        <v>2.2158798283261807</v>
      </c>
      <c r="AC9" s="1">
        <f t="shared" si="0"/>
        <v>2.0141630901287551</v>
      </c>
      <c r="AD9" s="1">
        <f t="shared" si="0"/>
        <v>0.50557939914163108</v>
      </c>
      <c r="AE9" s="1">
        <f t="shared" si="0"/>
        <v>0.39184549356223203</v>
      </c>
      <c r="AF9" s="1"/>
      <c r="AG9" s="1"/>
    </row>
    <row r="10" spans="1:33" x14ac:dyDescent="0.2">
      <c r="C10">
        <v>9.5100000000000004E-2</v>
      </c>
      <c r="D10">
        <v>9.4100000000000003E-2</v>
      </c>
      <c r="E10">
        <v>0.1019</v>
      </c>
      <c r="F10">
        <v>0.105</v>
      </c>
      <c r="G10">
        <v>0.11559999999999999</v>
      </c>
      <c r="H10">
        <v>0.1202</v>
      </c>
      <c r="I10">
        <v>0.1353</v>
      </c>
      <c r="J10">
        <v>0.1164</v>
      </c>
      <c r="K10">
        <v>8.5099999999999995E-2</v>
      </c>
      <c r="L10">
        <v>8.5900000000000004E-2</v>
      </c>
      <c r="V10" s="1">
        <f t="shared" si="1"/>
        <v>0.60858369098712461</v>
      </c>
      <c r="W10" s="1">
        <f t="shared" si="0"/>
        <v>0.58712446351931347</v>
      </c>
      <c r="X10" s="1">
        <f t="shared" si="0"/>
        <v>0.75450643776824056</v>
      </c>
      <c r="Y10" s="1">
        <f t="shared" si="0"/>
        <v>0.82103004291845494</v>
      </c>
      <c r="Z10" s="1">
        <f t="shared" si="0"/>
        <v>1.0484978540772532</v>
      </c>
      <c r="AA10" s="1">
        <f t="shared" si="0"/>
        <v>1.1472103004291847</v>
      </c>
      <c r="AB10" s="1">
        <f t="shared" si="0"/>
        <v>1.4712446351931332</v>
      </c>
      <c r="AC10" s="1">
        <f t="shared" si="0"/>
        <v>1.0656652360515022</v>
      </c>
      <c r="AD10" s="1">
        <f t="shared" si="0"/>
        <v>0.39399141630901291</v>
      </c>
      <c r="AE10" s="1">
        <f t="shared" si="0"/>
        <v>0.41115879828326202</v>
      </c>
      <c r="AF10" s="1"/>
      <c r="AG10" s="1"/>
    </row>
    <row r="11" spans="1:33" x14ac:dyDescent="0.2">
      <c r="C11">
        <v>9.8000000000000004E-2</v>
      </c>
      <c r="D11">
        <v>9.3600000000000003E-2</v>
      </c>
      <c r="E11">
        <v>0.1019</v>
      </c>
      <c r="F11">
        <v>0.1118</v>
      </c>
      <c r="G11">
        <v>0.1099</v>
      </c>
      <c r="H11">
        <v>0.11360000000000001</v>
      </c>
      <c r="I11">
        <v>0.1245</v>
      </c>
      <c r="J11">
        <v>0.1244</v>
      </c>
      <c r="K11">
        <v>9.0399999999999994E-2</v>
      </c>
      <c r="L11">
        <v>8.3799999999999999E-2</v>
      </c>
      <c r="V11" s="1">
        <f t="shared" si="1"/>
        <v>0.67081545064377701</v>
      </c>
      <c r="W11" s="1">
        <f t="shared" si="0"/>
        <v>0.57639484978540789</v>
      </c>
      <c r="X11" s="1">
        <f t="shared" si="0"/>
        <v>0.75450643776824056</v>
      </c>
      <c r="Y11" s="1">
        <f t="shared" si="0"/>
        <v>0.96695278969957077</v>
      </c>
      <c r="Z11" s="1">
        <f t="shared" si="0"/>
        <v>0.92618025751072963</v>
      </c>
      <c r="AA11" s="1">
        <f t="shared" si="0"/>
        <v>1.0055793991416311</v>
      </c>
      <c r="AB11" s="1">
        <f t="shared" si="0"/>
        <v>1.2394849785407727</v>
      </c>
      <c r="AC11" s="1">
        <f t="shared" si="0"/>
        <v>1.2373390557939914</v>
      </c>
      <c r="AD11" s="1">
        <f t="shared" si="0"/>
        <v>0.50772532188841202</v>
      </c>
      <c r="AE11" s="1">
        <f t="shared" si="0"/>
        <v>0.36609442060085845</v>
      </c>
      <c r="AF11" s="1"/>
      <c r="AG11" s="1"/>
    </row>
    <row r="12" spans="1:33" x14ac:dyDescent="0.2"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3" x14ac:dyDescent="0.2">
      <c r="A13">
        <v>2</v>
      </c>
      <c r="B13">
        <v>29.8</v>
      </c>
      <c r="C13">
        <v>0.151</v>
      </c>
      <c r="D13">
        <v>0.14829999999999999</v>
      </c>
      <c r="E13">
        <v>0.15379999999999999</v>
      </c>
      <c r="F13">
        <v>0.14760000000000001</v>
      </c>
      <c r="G13">
        <v>0.21729999999999999</v>
      </c>
      <c r="H13">
        <v>0.20630000000000001</v>
      </c>
      <c r="I13">
        <v>0.23400000000000001</v>
      </c>
      <c r="J13">
        <v>0.2127</v>
      </c>
      <c r="K13">
        <v>8.3799999999999999E-2</v>
      </c>
      <c r="L13">
        <v>8.2699999999999996E-2</v>
      </c>
      <c r="V13" s="1">
        <f t="shared" ref="V13:AE36" si="2">(C13-0.06674)/0.0466</f>
        <v>1.8081545064377682</v>
      </c>
      <c r="W13" s="1">
        <f t="shared" si="2"/>
        <v>1.7502145922746779</v>
      </c>
      <c r="X13" s="1">
        <f t="shared" si="2"/>
        <v>1.8682403433476393</v>
      </c>
      <c r="Y13" s="1">
        <f t="shared" si="2"/>
        <v>1.7351931330472106</v>
      </c>
      <c r="Z13" s="1">
        <f t="shared" si="2"/>
        <v>3.2309012875536478</v>
      </c>
      <c r="AA13" s="1">
        <f t="shared" si="2"/>
        <v>2.9948497854077254</v>
      </c>
      <c r="AB13" s="1">
        <f t="shared" si="2"/>
        <v>3.5892703862660946</v>
      </c>
      <c r="AC13" s="1">
        <f t="shared" si="2"/>
        <v>3.1321888412017169</v>
      </c>
      <c r="AD13" s="1">
        <f t="shared" si="2"/>
        <v>0.36609442060085845</v>
      </c>
      <c r="AE13" s="1">
        <f t="shared" si="2"/>
        <v>0.34248927038626614</v>
      </c>
      <c r="AF13" s="1"/>
      <c r="AG13" s="1"/>
    </row>
    <row r="14" spans="1:33" x14ac:dyDescent="0.2">
      <c r="C14">
        <v>0.1404</v>
      </c>
      <c r="D14">
        <v>0.15570000000000001</v>
      </c>
      <c r="E14">
        <v>0.1661</v>
      </c>
      <c r="F14">
        <v>0.16600000000000001</v>
      </c>
      <c r="G14">
        <v>0.27060000000000001</v>
      </c>
      <c r="H14">
        <v>0.2321</v>
      </c>
      <c r="I14">
        <v>0.30740000000000001</v>
      </c>
      <c r="J14">
        <v>0.252</v>
      </c>
      <c r="K14">
        <v>9.1300000000000006E-2</v>
      </c>
      <c r="L14">
        <v>8.5199999999999998E-2</v>
      </c>
      <c r="V14" s="1">
        <f t="shared" si="2"/>
        <v>1.58068669527897</v>
      </c>
      <c r="W14" s="1">
        <f t="shared" si="2"/>
        <v>1.9090128755364808</v>
      </c>
      <c r="X14" s="1">
        <f t="shared" si="2"/>
        <v>2.1321888412017169</v>
      </c>
      <c r="Y14" s="1">
        <f t="shared" si="2"/>
        <v>2.1300429184549357</v>
      </c>
      <c r="Z14" s="1">
        <f t="shared" si="2"/>
        <v>4.3746781115879827</v>
      </c>
      <c r="AA14" s="1">
        <f t="shared" si="2"/>
        <v>3.5484978540772532</v>
      </c>
      <c r="AB14" s="1">
        <f t="shared" si="2"/>
        <v>5.1643776824034333</v>
      </c>
      <c r="AC14" s="1">
        <f t="shared" si="2"/>
        <v>3.9755364806866953</v>
      </c>
      <c r="AD14" s="1">
        <f t="shared" si="2"/>
        <v>0.52703862660944234</v>
      </c>
      <c r="AE14" s="1">
        <f t="shared" si="2"/>
        <v>0.39613733905579407</v>
      </c>
      <c r="AF14" s="1"/>
      <c r="AG14" s="1"/>
    </row>
    <row r="15" spans="1:33" x14ac:dyDescent="0.2">
      <c r="C15">
        <v>0.1996</v>
      </c>
      <c r="D15">
        <v>0.14680000000000001</v>
      </c>
      <c r="E15">
        <v>0.15240000000000001</v>
      </c>
      <c r="F15">
        <v>0.14330000000000001</v>
      </c>
      <c r="G15">
        <v>0.20799999999999999</v>
      </c>
      <c r="H15">
        <v>0.18260000000000001</v>
      </c>
      <c r="I15">
        <v>0.20830000000000001</v>
      </c>
      <c r="J15">
        <v>0.20899999999999999</v>
      </c>
      <c r="K15">
        <v>8.6900000000000005E-2</v>
      </c>
      <c r="L15">
        <v>8.3900000000000002E-2</v>
      </c>
      <c r="V15" s="1">
        <f t="shared" si="2"/>
        <v>2.8510729613733905</v>
      </c>
      <c r="W15" s="1">
        <f t="shared" si="2"/>
        <v>1.7180257510729617</v>
      </c>
      <c r="X15" s="1">
        <f t="shared" si="2"/>
        <v>1.838197424892704</v>
      </c>
      <c r="Y15" s="1">
        <f t="shared" si="2"/>
        <v>1.6429184549356226</v>
      </c>
      <c r="Z15" s="1">
        <f t="shared" si="2"/>
        <v>3.0313304721030039</v>
      </c>
      <c r="AA15" s="1">
        <f t="shared" si="2"/>
        <v>2.4862660944206012</v>
      </c>
      <c r="AB15" s="1">
        <f t="shared" si="2"/>
        <v>3.0377682403433477</v>
      </c>
      <c r="AC15" s="1">
        <f t="shared" si="2"/>
        <v>3.0527896995708153</v>
      </c>
      <c r="AD15" s="1">
        <f t="shared" si="2"/>
        <v>0.43261802575107317</v>
      </c>
      <c r="AE15" s="1">
        <f t="shared" si="2"/>
        <v>0.36824034334763966</v>
      </c>
      <c r="AF15" s="1"/>
      <c r="AG15" s="1"/>
    </row>
    <row r="16" spans="1:33" x14ac:dyDescent="0.2">
      <c r="C16">
        <v>0.1479</v>
      </c>
      <c r="D16">
        <v>0.16189999999999999</v>
      </c>
      <c r="E16">
        <v>0.14760000000000001</v>
      </c>
      <c r="F16">
        <v>0.14019999999999999</v>
      </c>
      <c r="G16">
        <v>0.2112</v>
      </c>
      <c r="H16">
        <v>0.18720000000000001</v>
      </c>
      <c r="I16">
        <v>0.19270000000000001</v>
      </c>
      <c r="J16">
        <v>0.2238</v>
      </c>
      <c r="K16">
        <v>8.4000000000000005E-2</v>
      </c>
      <c r="L16">
        <v>8.3799999999999999E-2</v>
      </c>
      <c r="V16" s="1">
        <f t="shared" si="2"/>
        <v>1.7416309012875537</v>
      </c>
      <c r="W16" s="1">
        <f t="shared" si="2"/>
        <v>2.0420600858369098</v>
      </c>
      <c r="X16" s="1">
        <f t="shared" si="2"/>
        <v>1.7351931330472106</v>
      </c>
      <c r="Y16" s="1">
        <f t="shared" si="2"/>
        <v>1.5763948497854077</v>
      </c>
      <c r="Z16" s="1">
        <f t="shared" si="2"/>
        <v>3.1</v>
      </c>
      <c r="AA16" s="1">
        <f t="shared" si="2"/>
        <v>2.5849785407725321</v>
      </c>
      <c r="AB16" s="1">
        <f t="shared" si="2"/>
        <v>2.703004291845494</v>
      </c>
      <c r="AC16" s="1">
        <f t="shared" si="2"/>
        <v>3.3703862660944206</v>
      </c>
      <c r="AD16" s="1">
        <f t="shared" si="2"/>
        <v>0.37038626609442082</v>
      </c>
      <c r="AE16" s="1">
        <f t="shared" si="2"/>
        <v>0.36609442060085845</v>
      </c>
      <c r="AF16" s="1"/>
      <c r="AG16" s="1"/>
    </row>
    <row r="17" spans="1:33" x14ac:dyDescent="0.2">
      <c r="C17">
        <v>0.1149</v>
      </c>
      <c r="D17">
        <v>0.1149</v>
      </c>
      <c r="E17">
        <v>0.151</v>
      </c>
      <c r="F17">
        <v>0.14680000000000001</v>
      </c>
      <c r="G17">
        <v>0.16869999999999999</v>
      </c>
      <c r="H17">
        <v>0.18629999999999999</v>
      </c>
      <c r="I17">
        <v>0.2029</v>
      </c>
      <c r="J17">
        <v>0.1802</v>
      </c>
      <c r="K17">
        <v>8.5300000000000001E-2</v>
      </c>
      <c r="L17">
        <v>9.1600000000000001E-2</v>
      </c>
      <c r="V17" s="1">
        <f t="shared" si="2"/>
        <v>1.0334763948497856</v>
      </c>
      <c r="W17" s="1">
        <f t="shared" si="2"/>
        <v>1.0334763948497856</v>
      </c>
      <c r="X17" s="1">
        <f t="shared" si="2"/>
        <v>1.8081545064377682</v>
      </c>
      <c r="Y17" s="1">
        <f t="shared" si="2"/>
        <v>1.7180257510729617</v>
      </c>
      <c r="Z17" s="1">
        <f t="shared" si="2"/>
        <v>2.1879828326180255</v>
      </c>
      <c r="AA17" s="1">
        <f t="shared" si="2"/>
        <v>2.565665236051502</v>
      </c>
      <c r="AB17" s="1">
        <f t="shared" si="2"/>
        <v>2.9218884120171671</v>
      </c>
      <c r="AC17" s="1">
        <f t="shared" si="2"/>
        <v>2.4347639484978543</v>
      </c>
      <c r="AD17" s="1">
        <f t="shared" si="2"/>
        <v>0.39828326180257523</v>
      </c>
      <c r="AE17" s="1">
        <f t="shared" si="2"/>
        <v>0.53347639484978548</v>
      </c>
      <c r="AF17" s="1"/>
      <c r="AG17" s="1"/>
    </row>
    <row r="18" spans="1:33" x14ac:dyDescent="0.2">
      <c r="C18">
        <v>0.10879999999999999</v>
      </c>
      <c r="D18">
        <v>0.1116</v>
      </c>
      <c r="E18">
        <v>0.12189999999999999</v>
      </c>
      <c r="F18">
        <v>0.12889999999999999</v>
      </c>
      <c r="G18">
        <v>0.1545</v>
      </c>
      <c r="H18">
        <v>0.16350000000000001</v>
      </c>
      <c r="I18">
        <v>0.17749999999999999</v>
      </c>
      <c r="J18">
        <v>0.16839999999999999</v>
      </c>
      <c r="K18">
        <v>8.3199999999999996E-2</v>
      </c>
      <c r="L18">
        <v>8.43E-2</v>
      </c>
      <c r="V18" s="1">
        <f t="shared" si="2"/>
        <v>0.90257510729613732</v>
      </c>
      <c r="W18" s="1">
        <f t="shared" si="2"/>
        <v>0.96266094420600878</v>
      </c>
      <c r="X18" s="1">
        <f t="shared" si="2"/>
        <v>1.1836909871244634</v>
      </c>
      <c r="Y18" s="1">
        <f t="shared" si="2"/>
        <v>1.3339055793991415</v>
      </c>
      <c r="Z18" s="1">
        <f t="shared" si="2"/>
        <v>1.8832618025751073</v>
      </c>
      <c r="AA18" s="1">
        <f t="shared" si="2"/>
        <v>2.0763948497854079</v>
      </c>
      <c r="AB18" s="1">
        <f t="shared" si="2"/>
        <v>2.376824034334764</v>
      </c>
      <c r="AC18" s="1">
        <f t="shared" si="2"/>
        <v>2.1815450643776821</v>
      </c>
      <c r="AD18" s="1">
        <f t="shared" si="2"/>
        <v>0.35321888412017172</v>
      </c>
      <c r="AE18" s="1">
        <f t="shared" si="2"/>
        <v>0.37682403433476408</v>
      </c>
      <c r="AF18" s="1"/>
      <c r="AG18" s="1"/>
    </row>
    <row r="19" spans="1:33" x14ac:dyDescent="0.2">
      <c r="C19">
        <v>9.6000000000000002E-2</v>
      </c>
      <c r="D19">
        <v>9.3100000000000002E-2</v>
      </c>
      <c r="E19">
        <v>0.1011</v>
      </c>
      <c r="F19">
        <v>0.10580000000000001</v>
      </c>
      <c r="G19">
        <v>0.1207</v>
      </c>
      <c r="H19">
        <v>0.12570000000000001</v>
      </c>
      <c r="I19">
        <v>0.13780000000000001</v>
      </c>
      <c r="J19">
        <v>0.1202</v>
      </c>
      <c r="K19">
        <v>8.3400000000000002E-2</v>
      </c>
      <c r="L19">
        <v>8.6900000000000005E-2</v>
      </c>
      <c r="V19" s="1">
        <f t="shared" si="2"/>
        <v>0.6278969957081546</v>
      </c>
      <c r="W19" s="1">
        <f t="shared" si="2"/>
        <v>0.56566523605150232</v>
      </c>
      <c r="X19" s="1">
        <f t="shared" si="2"/>
        <v>0.73733905579399139</v>
      </c>
      <c r="Y19" s="1">
        <f t="shared" si="2"/>
        <v>0.8381974248927041</v>
      </c>
      <c r="Z19" s="1">
        <f t="shared" si="2"/>
        <v>1.1579399141630902</v>
      </c>
      <c r="AA19" s="1">
        <f t="shared" si="2"/>
        <v>1.2652360515021461</v>
      </c>
      <c r="AB19" s="1">
        <f t="shared" si="2"/>
        <v>1.5248927038626612</v>
      </c>
      <c r="AC19" s="1">
        <f t="shared" si="2"/>
        <v>1.1472103004291847</v>
      </c>
      <c r="AD19" s="1">
        <f t="shared" si="2"/>
        <v>0.35751072961373404</v>
      </c>
      <c r="AE19" s="1">
        <f t="shared" si="2"/>
        <v>0.43261802575107317</v>
      </c>
      <c r="AF19" s="1"/>
      <c r="AG19" s="1"/>
    </row>
    <row r="20" spans="1:33" x14ac:dyDescent="0.2">
      <c r="C20">
        <v>9.7699999999999995E-2</v>
      </c>
      <c r="D20">
        <v>9.4899999999999998E-2</v>
      </c>
      <c r="E20">
        <v>0.1036</v>
      </c>
      <c r="F20">
        <v>0.1137</v>
      </c>
      <c r="G20">
        <v>0.1138</v>
      </c>
      <c r="H20">
        <v>0.1158</v>
      </c>
      <c r="I20">
        <v>0.1285</v>
      </c>
      <c r="J20">
        <v>0.12809999999999999</v>
      </c>
      <c r="K20">
        <v>8.2699999999999996E-2</v>
      </c>
      <c r="L20">
        <v>8.2699999999999996E-2</v>
      </c>
      <c r="V20" s="1">
        <f t="shared" si="2"/>
        <v>0.66437768240343342</v>
      </c>
      <c r="W20" s="1">
        <f t="shared" si="2"/>
        <v>0.6042918454935623</v>
      </c>
      <c r="X20" s="1">
        <f t="shared" si="2"/>
        <v>0.79098712446351938</v>
      </c>
      <c r="Y20" s="1">
        <f t="shared" si="2"/>
        <v>1.0077253218884119</v>
      </c>
      <c r="Z20" s="1">
        <f t="shared" si="2"/>
        <v>1.0098712446351932</v>
      </c>
      <c r="AA20" s="1">
        <f t="shared" si="2"/>
        <v>1.0527896995708155</v>
      </c>
      <c r="AB20" s="1">
        <f t="shared" si="2"/>
        <v>1.3253218884120173</v>
      </c>
      <c r="AC20" s="1">
        <f t="shared" si="2"/>
        <v>1.3167381974248926</v>
      </c>
      <c r="AD20" s="1">
        <f t="shared" si="2"/>
        <v>0.34248927038626614</v>
      </c>
      <c r="AE20" s="1">
        <f t="shared" si="2"/>
        <v>0.34248927038626614</v>
      </c>
      <c r="AF20" s="1"/>
      <c r="AG20" s="1"/>
    </row>
    <row r="21" spans="1:33" x14ac:dyDescent="0.2"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x14ac:dyDescent="0.2">
      <c r="A22">
        <v>3</v>
      </c>
      <c r="B22">
        <v>29.8</v>
      </c>
      <c r="C22">
        <v>0.15229999999999999</v>
      </c>
      <c r="D22">
        <v>0.15390000000000001</v>
      </c>
      <c r="E22">
        <v>0.1573</v>
      </c>
      <c r="F22">
        <v>0.1489</v>
      </c>
      <c r="G22">
        <v>0.23200000000000001</v>
      </c>
      <c r="H22">
        <v>0.2225</v>
      </c>
      <c r="I22">
        <v>0.25769999999999998</v>
      </c>
      <c r="J22">
        <v>0.23230000000000001</v>
      </c>
      <c r="K22">
        <v>8.2699999999999996E-2</v>
      </c>
      <c r="L22">
        <v>8.2299999999999998E-2</v>
      </c>
      <c r="V22" s="1">
        <f t="shared" si="2"/>
        <v>1.8360515021459225</v>
      </c>
      <c r="W22" s="1">
        <f t="shared" si="2"/>
        <v>1.8703862660944208</v>
      </c>
      <c r="X22" s="1">
        <f t="shared" si="2"/>
        <v>1.9433476394849785</v>
      </c>
      <c r="Y22" s="1">
        <f t="shared" si="2"/>
        <v>1.7630901287553649</v>
      </c>
      <c r="Z22" s="1">
        <f t="shared" si="2"/>
        <v>3.5463519313304723</v>
      </c>
      <c r="AA22" s="1">
        <f t="shared" si="2"/>
        <v>3.3424892703862663</v>
      </c>
      <c r="AB22" s="1">
        <f t="shared" si="2"/>
        <v>4.0978540772532188</v>
      </c>
      <c r="AC22" s="1">
        <f t="shared" si="2"/>
        <v>3.5527896995708157</v>
      </c>
      <c r="AD22" s="1">
        <f t="shared" si="2"/>
        <v>0.34248927038626614</v>
      </c>
      <c r="AE22" s="1">
        <f t="shared" si="2"/>
        <v>0.33390557939914173</v>
      </c>
      <c r="AF22" s="1"/>
      <c r="AG22" s="1"/>
    </row>
    <row r="23" spans="1:33" x14ac:dyDescent="0.2">
      <c r="C23">
        <v>0.14779999999999999</v>
      </c>
      <c r="D23">
        <v>0.16239999999999999</v>
      </c>
      <c r="E23">
        <v>0.17860000000000001</v>
      </c>
      <c r="F23">
        <v>0.17330000000000001</v>
      </c>
      <c r="G23">
        <v>0.29499999999999998</v>
      </c>
      <c r="H23">
        <v>0.25419999999999998</v>
      </c>
      <c r="I23">
        <v>0.34079999999999999</v>
      </c>
      <c r="J23">
        <v>0.27460000000000001</v>
      </c>
      <c r="K23">
        <v>9.1499999999999998E-2</v>
      </c>
      <c r="L23">
        <v>8.4400000000000003E-2</v>
      </c>
      <c r="V23" s="1">
        <f t="shared" si="2"/>
        <v>1.7394849785407722</v>
      </c>
      <c r="W23" s="1">
        <f t="shared" si="2"/>
        <v>2.0527896995708153</v>
      </c>
      <c r="X23" s="1">
        <f t="shared" si="2"/>
        <v>2.4004291845493566</v>
      </c>
      <c r="Y23" s="1">
        <f t="shared" si="2"/>
        <v>2.2866952789699573</v>
      </c>
      <c r="Z23" s="1">
        <f t="shared" si="2"/>
        <v>4.8982832618025745</v>
      </c>
      <c r="AA23" s="1">
        <f t="shared" si="2"/>
        <v>4.0227467811158792</v>
      </c>
      <c r="AB23" s="1">
        <f t="shared" si="2"/>
        <v>5.8811158798283252</v>
      </c>
      <c r="AC23" s="1">
        <f t="shared" si="2"/>
        <v>4.4605150214592273</v>
      </c>
      <c r="AD23" s="1">
        <f t="shared" si="2"/>
        <v>0.53133047210300433</v>
      </c>
      <c r="AE23" s="1">
        <f t="shared" si="2"/>
        <v>0.37896995708154524</v>
      </c>
      <c r="AF23" s="1"/>
      <c r="AG23" s="1"/>
    </row>
    <row r="24" spans="1:33" x14ac:dyDescent="0.2">
      <c r="C24">
        <v>0.20799999999999999</v>
      </c>
      <c r="D24">
        <v>0.1522</v>
      </c>
      <c r="E24">
        <v>0.15840000000000001</v>
      </c>
      <c r="F24">
        <v>0.14960000000000001</v>
      </c>
      <c r="G24">
        <v>0.23530000000000001</v>
      </c>
      <c r="H24">
        <v>0.20280000000000001</v>
      </c>
      <c r="I24">
        <v>0.23799999999999999</v>
      </c>
      <c r="J24">
        <v>0.2341</v>
      </c>
      <c r="K24">
        <v>8.43E-2</v>
      </c>
      <c r="L24">
        <v>8.2500000000000004E-2</v>
      </c>
      <c r="V24" s="1">
        <f t="shared" si="2"/>
        <v>3.0313304721030039</v>
      </c>
      <c r="W24" s="1">
        <f t="shared" si="2"/>
        <v>1.8339055793991417</v>
      </c>
      <c r="X24" s="1">
        <f t="shared" si="2"/>
        <v>1.9669527896995711</v>
      </c>
      <c r="Y24" s="1">
        <f t="shared" si="2"/>
        <v>1.7781115879828329</v>
      </c>
      <c r="Z24" s="1">
        <f t="shared" si="2"/>
        <v>3.6171673819742489</v>
      </c>
      <c r="AA24" s="1">
        <f t="shared" si="2"/>
        <v>2.9197424892703863</v>
      </c>
      <c r="AB24" s="1">
        <f t="shared" si="2"/>
        <v>3.6751072961373388</v>
      </c>
      <c r="AC24" s="1">
        <f t="shared" si="2"/>
        <v>3.5914163090128755</v>
      </c>
      <c r="AD24" s="1">
        <f t="shared" si="2"/>
        <v>0.37682403433476408</v>
      </c>
      <c r="AE24" s="1">
        <f t="shared" si="2"/>
        <v>0.33819742489270405</v>
      </c>
      <c r="AF24" s="1"/>
      <c r="AG24" s="1"/>
    </row>
    <row r="25" spans="1:33" x14ac:dyDescent="0.2">
      <c r="C25">
        <v>0.15459999999999999</v>
      </c>
      <c r="D25">
        <v>0.16919999999999999</v>
      </c>
      <c r="E25">
        <v>0.15790000000000001</v>
      </c>
      <c r="F25">
        <v>0.1447</v>
      </c>
      <c r="G25">
        <v>0.23200000000000001</v>
      </c>
      <c r="H25">
        <v>0.20610000000000001</v>
      </c>
      <c r="I25">
        <v>0.2117</v>
      </c>
      <c r="J25">
        <v>0.24859999999999999</v>
      </c>
      <c r="K25">
        <v>8.4400000000000003E-2</v>
      </c>
      <c r="L25">
        <v>8.4099999999999994E-2</v>
      </c>
      <c r="V25" s="1">
        <f t="shared" si="2"/>
        <v>1.8854077253218882</v>
      </c>
      <c r="W25" s="1">
        <f t="shared" si="2"/>
        <v>2.198712446351931</v>
      </c>
      <c r="X25" s="1">
        <f t="shared" si="2"/>
        <v>1.9562231759656656</v>
      </c>
      <c r="Y25" s="1">
        <f t="shared" si="2"/>
        <v>1.6729613733905579</v>
      </c>
      <c r="Z25" s="1">
        <f t="shared" si="2"/>
        <v>3.5463519313304723</v>
      </c>
      <c r="AA25" s="1">
        <f t="shared" si="2"/>
        <v>2.9905579399141633</v>
      </c>
      <c r="AB25" s="1">
        <f t="shared" si="2"/>
        <v>3.1107296137339056</v>
      </c>
      <c r="AC25" s="1">
        <f t="shared" si="2"/>
        <v>3.902575107296137</v>
      </c>
      <c r="AD25" s="1">
        <f t="shared" si="2"/>
        <v>0.37896995708154524</v>
      </c>
      <c r="AE25" s="1">
        <f t="shared" si="2"/>
        <v>0.37253218884120171</v>
      </c>
      <c r="AF25" s="1"/>
      <c r="AG25" s="1"/>
    </row>
    <row r="26" spans="1:33" x14ac:dyDescent="0.2">
      <c r="C26">
        <v>0.11509999999999999</v>
      </c>
      <c r="D26">
        <v>0.1178</v>
      </c>
      <c r="E26">
        <v>0.1527</v>
      </c>
      <c r="F26">
        <v>0.15229999999999999</v>
      </c>
      <c r="G26">
        <v>0.17710000000000001</v>
      </c>
      <c r="H26">
        <v>0.19259999999999999</v>
      </c>
      <c r="I26">
        <v>0.2084</v>
      </c>
      <c r="J26">
        <v>0.18629999999999999</v>
      </c>
      <c r="K26">
        <v>8.4000000000000005E-2</v>
      </c>
      <c r="L26">
        <v>8.6800000000000002E-2</v>
      </c>
      <c r="V26" s="1">
        <f t="shared" si="2"/>
        <v>1.0377682403433477</v>
      </c>
      <c r="W26" s="1">
        <f t="shared" si="2"/>
        <v>1.095708154506438</v>
      </c>
      <c r="X26" s="1">
        <f t="shared" si="2"/>
        <v>1.8446351931330474</v>
      </c>
      <c r="Y26" s="1">
        <f t="shared" si="2"/>
        <v>1.8360515021459225</v>
      </c>
      <c r="Z26" s="1">
        <f t="shared" si="2"/>
        <v>2.3682403433476398</v>
      </c>
      <c r="AA26" s="1">
        <f t="shared" si="2"/>
        <v>2.7008583690987122</v>
      </c>
      <c r="AB26" s="1">
        <f t="shared" si="2"/>
        <v>3.039914163090129</v>
      </c>
      <c r="AC26" s="1">
        <f t="shared" si="2"/>
        <v>2.565665236051502</v>
      </c>
      <c r="AD26" s="1">
        <f t="shared" si="2"/>
        <v>0.37038626609442082</v>
      </c>
      <c r="AE26" s="1">
        <f t="shared" si="2"/>
        <v>0.43047210300429201</v>
      </c>
      <c r="AF26" s="1"/>
      <c r="AG26" s="1"/>
    </row>
    <row r="27" spans="1:33" x14ac:dyDescent="0.2">
      <c r="C27">
        <v>0.11020000000000001</v>
      </c>
      <c r="D27">
        <v>0.11070000000000001</v>
      </c>
      <c r="E27">
        <v>0.12189999999999999</v>
      </c>
      <c r="F27">
        <v>0.13089999999999999</v>
      </c>
      <c r="G27">
        <v>0.16120000000000001</v>
      </c>
      <c r="H27">
        <v>0.1658</v>
      </c>
      <c r="I27">
        <v>0.18890000000000001</v>
      </c>
      <c r="J27">
        <v>0.1797</v>
      </c>
      <c r="K27">
        <v>8.2900000000000001E-2</v>
      </c>
      <c r="L27">
        <v>8.5000000000000006E-2</v>
      </c>
      <c r="V27" s="1">
        <f t="shared" si="2"/>
        <v>0.93261802575107322</v>
      </c>
      <c r="W27" s="1">
        <f t="shared" si="2"/>
        <v>0.94334763948497879</v>
      </c>
      <c r="X27" s="1">
        <f t="shared" si="2"/>
        <v>1.1836909871244634</v>
      </c>
      <c r="Y27" s="1">
        <f t="shared" si="2"/>
        <v>1.3768240343347637</v>
      </c>
      <c r="Z27" s="1">
        <f t="shared" si="2"/>
        <v>2.0270386266094422</v>
      </c>
      <c r="AA27" s="1">
        <f t="shared" si="2"/>
        <v>2.1257510729613736</v>
      </c>
      <c r="AB27" s="1">
        <f t="shared" si="2"/>
        <v>2.6214592274678115</v>
      </c>
      <c r="AC27" s="1">
        <f t="shared" si="2"/>
        <v>2.4240343347639484</v>
      </c>
      <c r="AD27" s="1">
        <f t="shared" si="2"/>
        <v>0.34678111587982846</v>
      </c>
      <c r="AE27" s="1">
        <f t="shared" si="2"/>
        <v>0.39184549356223203</v>
      </c>
      <c r="AF27" s="1"/>
      <c r="AG27" s="1"/>
    </row>
    <row r="28" spans="1:33" x14ac:dyDescent="0.2">
      <c r="C28">
        <v>9.6500000000000002E-2</v>
      </c>
      <c r="D28">
        <v>9.3899999999999997E-2</v>
      </c>
      <c r="E28">
        <v>0.1023</v>
      </c>
      <c r="F28">
        <v>0.10730000000000001</v>
      </c>
      <c r="G28">
        <v>0.12640000000000001</v>
      </c>
      <c r="H28">
        <v>0.13</v>
      </c>
      <c r="I28">
        <v>0.14050000000000001</v>
      </c>
      <c r="J28">
        <v>0.12330000000000001</v>
      </c>
      <c r="K28">
        <v>8.2600000000000007E-2</v>
      </c>
      <c r="L28">
        <v>8.3099999999999993E-2</v>
      </c>
      <c r="V28" s="1">
        <f t="shared" si="2"/>
        <v>0.63862660944206029</v>
      </c>
      <c r="W28" s="1">
        <f t="shared" si="2"/>
        <v>0.58283261802575115</v>
      </c>
      <c r="X28" s="1">
        <f t="shared" si="2"/>
        <v>0.76309012875536497</v>
      </c>
      <c r="Y28" s="1">
        <f t="shared" si="2"/>
        <v>0.87038626609442082</v>
      </c>
      <c r="Z28" s="1">
        <f t="shared" si="2"/>
        <v>1.2802575107296141</v>
      </c>
      <c r="AA28" s="1">
        <f t="shared" si="2"/>
        <v>1.3575107296137341</v>
      </c>
      <c r="AB28" s="1">
        <f t="shared" si="2"/>
        <v>1.5828326180257515</v>
      </c>
      <c r="AC28" s="1">
        <f t="shared" si="2"/>
        <v>1.2137339055793994</v>
      </c>
      <c r="AD28" s="1">
        <f t="shared" si="2"/>
        <v>0.34034334763948526</v>
      </c>
      <c r="AE28" s="1">
        <f t="shared" si="2"/>
        <v>0.3510729613733905</v>
      </c>
      <c r="AF28" s="1"/>
      <c r="AG28" s="1"/>
    </row>
    <row r="29" spans="1:33" x14ac:dyDescent="0.2">
      <c r="C29">
        <v>9.7699999999999995E-2</v>
      </c>
      <c r="D29">
        <v>9.6299999999999997E-2</v>
      </c>
      <c r="E29">
        <v>0.1052</v>
      </c>
      <c r="F29">
        <v>0.1138</v>
      </c>
      <c r="G29">
        <v>0.11849999999999999</v>
      </c>
      <c r="H29">
        <v>0.1193</v>
      </c>
      <c r="I29">
        <v>0.13400000000000001</v>
      </c>
      <c r="J29">
        <v>0.1341</v>
      </c>
      <c r="K29">
        <v>8.3299999999999999E-2</v>
      </c>
      <c r="L29">
        <v>8.3000000000000004E-2</v>
      </c>
      <c r="V29" s="1">
        <f t="shared" si="2"/>
        <v>0.66437768240343342</v>
      </c>
      <c r="W29" s="1">
        <f t="shared" si="2"/>
        <v>0.63433476394849786</v>
      </c>
      <c r="X29" s="1">
        <f t="shared" si="2"/>
        <v>0.82532188841201726</v>
      </c>
      <c r="Y29" s="1">
        <f t="shared" si="2"/>
        <v>1.0098712446351932</v>
      </c>
      <c r="Z29" s="1">
        <f t="shared" si="2"/>
        <v>1.1107296137339056</v>
      </c>
      <c r="AA29" s="1">
        <f t="shared" si="2"/>
        <v>1.1278969957081546</v>
      </c>
      <c r="AB29" s="1">
        <f t="shared" si="2"/>
        <v>1.4433476394849787</v>
      </c>
      <c r="AC29" s="1">
        <f t="shared" si="2"/>
        <v>1.4454935622317597</v>
      </c>
      <c r="AD29" s="1">
        <f t="shared" si="2"/>
        <v>0.35536480686695288</v>
      </c>
      <c r="AE29" s="1">
        <f t="shared" si="2"/>
        <v>0.34892703862660968</v>
      </c>
      <c r="AF29" s="1"/>
      <c r="AG29" s="1"/>
    </row>
    <row r="30" spans="1:33" x14ac:dyDescent="0.2"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2">
      <c r="A31">
        <v>4</v>
      </c>
      <c r="B31">
        <v>29.8</v>
      </c>
      <c r="C31">
        <v>0.15029999999999999</v>
      </c>
      <c r="D31">
        <v>0.15959999999999999</v>
      </c>
      <c r="E31">
        <v>0.15720000000000001</v>
      </c>
      <c r="F31">
        <v>0.14979999999999999</v>
      </c>
      <c r="G31">
        <v>0.2364</v>
      </c>
      <c r="H31">
        <v>0.2278</v>
      </c>
      <c r="I31">
        <v>0.26569999999999999</v>
      </c>
      <c r="J31">
        <v>0.2399</v>
      </c>
      <c r="K31">
        <v>8.3000000000000004E-2</v>
      </c>
      <c r="L31">
        <v>8.2000000000000003E-2</v>
      </c>
      <c r="V31" s="1">
        <f t="shared" si="2"/>
        <v>1.7931330472103002</v>
      </c>
      <c r="W31" s="1">
        <f t="shared" si="2"/>
        <v>1.9927038626609441</v>
      </c>
      <c r="X31" s="1">
        <f t="shared" si="2"/>
        <v>1.9412017167381976</v>
      </c>
      <c r="Y31" s="1">
        <f t="shared" si="2"/>
        <v>1.7824034334763947</v>
      </c>
      <c r="Z31" s="1">
        <f t="shared" si="2"/>
        <v>3.6407725321888411</v>
      </c>
      <c r="AA31" s="1">
        <f t="shared" si="2"/>
        <v>3.4562231759656652</v>
      </c>
      <c r="AB31" s="1">
        <f t="shared" si="2"/>
        <v>4.269527896995708</v>
      </c>
      <c r="AC31" s="1">
        <f t="shared" si="2"/>
        <v>3.7158798283261802</v>
      </c>
      <c r="AD31" s="1">
        <f t="shared" si="2"/>
        <v>0.34892703862660968</v>
      </c>
      <c r="AE31" s="1">
        <f t="shared" si="2"/>
        <v>0.32746781115879847</v>
      </c>
      <c r="AF31" s="1"/>
      <c r="AG31" s="1"/>
    </row>
    <row r="32" spans="1:33" x14ac:dyDescent="0.2">
      <c r="C32">
        <v>0.14879999999999999</v>
      </c>
      <c r="D32">
        <v>0.1638</v>
      </c>
      <c r="E32">
        <v>0.1817</v>
      </c>
      <c r="F32">
        <v>0.17349999999999999</v>
      </c>
      <c r="G32">
        <v>0.30070000000000002</v>
      </c>
      <c r="H32">
        <v>0.26350000000000001</v>
      </c>
      <c r="I32">
        <v>0.34649999999999997</v>
      </c>
      <c r="J32">
        <v>0.27889999999999998</v>
      </c>
      <c r="K32">
        <v>8.9800000000000005E-2</v>
      </c>
      <c r="L32">
        <v>8.3900000000000002E-2</v>
      </c>
      <c r="V32" s="1">
        <f t="shared" si="2"/>
        <v>1.7609442060085834</v>
      </c>
      <c r="W32" s="1">
        <f t="shared" si="2"/>
        <v>2.0828326180257513</v>
      </c>
      <c r="X32" s="1">
        <f t="shared" si="2"/>
        <v>2.4669527896995707</v>
      </c>
      <c r="Y32" s="1">
        <f t="shared" si="2"/>
        <v>2.2909871244635189</v>
      </c>
      <c r="Z32" s="1">
        <f t="shared" si="2"/>
        <v>5.0206008583690993</v>
      </c>
      <c r="AA32" s="1">
        <f t="shared" si="2"/>
        <v>4.2223175965665236</v>
      </c>
      <c r="AB32" s="1">
        <f t="shared" si="2"/>
        <v>6.00343347639485</v>
      </c>
      <c r="AC32" s="1">
        <f t="shared" si="2"/>
        <v>4.5527896995708153</v>
      </c>
      <c r="AD32" s="1">
        <f t="shared" si="2"/>
        <v>0.49484978540772551</v>
      </c>
      <c r="AE32" s="1">
        <f t="shared" si="2"/>
        <v>0.36824034334763966</v>
      </c>
      <c r="AF32" s="1"/>
      <c r="AG32" s="1"/>
    </row>
    <row r="33" spans="1:33" x14ac:dyDescent="0.2">
      <c r="C33">
        <v>0.20469999999999999</v>
      </c>
      <c r="D33">
        <v>0.1469</v>
      </c>
      <c r="E33">
        <v>0.1585</v>
      </c>
      <c r="F33">
        <v>0.15179999999999999</v>
      </c>
      <c r="G33">
        <v>0.2462</v>
      </c>
      <c r="H33">
        <v>0.219</v>
      </c>
      <c r="I33">
        <v>0.255</v>
      </c>
      <c r="J33">
        <v>0.2576</v>
      </c>
      <c r="K33">
        <v>8.4400000000000003E-2</v>
      </c>
      <c r="L33">
        <v>8.2600000000000007E-2</v>
      </c>
      <c r="V33" s="1">
        <f t="shared" si="2"/>
        <v>2.9605150214592273</v>
      </c>
      <c r="W33" s="1">
        <f t="shared" si="2"/>
        <v>1.7201716738197426</v>
      </c>
      <c r="X33" s="1">
        <f t="shared" si="2"/>
        <v>1.9690987124463519</v>
      </c>
      <c r="Y33" s="1">
        <f t="shared" si="2"/>
        <v>1.825321888412017</v>
      </c>
      <c r="Z33" s="1">
        <f t="shared" si="2"/>
        <v>3.8510729613733905</v>
      </c>
      <c r="AA33" s="1">
        <f t="shared" si="2"/>
        <v>3.2673819742489272</v>
      </c>
      <c r="AB33" s="1">
        <f t="shared" si="2"/>
        <v>4.0399141630901285</v>
      </c>
      <c r="AC33" s="1">
        <f t="shared" si="2"/>
        <v>4.095708154506438</v>
      </c>
      <c r="AD33" s="1">
        <f t="shared" si="2"/>
        <v>0.37896995708154524</v>
      </c>
      <c r="AE33" s="1">
        <f t="shared" si="2"/>
        <v>0.34034334763948526</v>
      </c>
      <c r="AF33" s="1"/>
      <c r="AG33" s="1"/>
    </row>
    <row r="34" spans="1:33" x14ac:dyDescent="0.2">
      <c r="C34">
        <v>0.15840000000000001</v>
      </c>
      <c r="D34">
        <v>0.17199999999999999</v>
      </c>
      <c r="E34">
        <v>0.1623</v>
      </c>
      <c r="F34">
        <v>0.1464</v>
      </c>
      <c r="G34">
        <v>0.24179999999999999</v>
      </c>
      <c r="H34">
        <v>0.2185</v>
      </c>
      <c r="I34">
        <v>0.22170000000000001</v>
      </c>
      <c r="J34">
        <v>0.25679999999999997</v>
      </c>
      <c r="K34">
        <v>8.5199999999999998E-2</v>
      </c>
      <c r="L34">
        <v>8.4400000000000003E-2</v>
      </c>
      <c r="V34" s="1">
        <f t="shared" si="2"/>
        <v>1.9669527896995711</v>
      </c>
      <c r="W34" s="1">
        <f t="shared" si="2"/>
        <v>2.2587982832618021</v>
      </c>
      <c r="X34" s="1">
        <f t="shared" si="2"/>
        <v>2.0506437768240344</v>
      </c>
      <c r="Y34" s="1">
        <f t="shared" si="2"/>
        <v>1.7094420600858371</v>
      </c>
      <c r="Z34" s="1">
        <f t="shared" si="2"/>
        <v>3.7566523605150213</v>
      </c>
      <c r="AA34" s="1">
        <f t="shared" si="2"/>
        <v>3.2566523605150213</v>
      </c>
      <c r="AB34" s="1">
        <f t="shared" si="2"/>
        <v>3.3253218884120175</v>
      </c>
      <c r="AC34" s="1">
        <f t="shared" si="2"/>
        <v>4.0785407725321878</v>
      </c>
      <c r="AD34" s="1">
        <f t="shared" si="2"/>
        <v>0.39613733905579407</v>
      </c>
      <c r="AE34" s="1">
        <f t="shared" si="2"/>
        <v>0.37896995708154524</v>
      </c>
      <c r="AF34" s="1"/>
      <c r="AG34" s="1"/>
    </row>
    <row r="35" spans="1:33" x14ac:dyDescent="0.2">
      <c r="C35">
        <v>0.1149</v>
      </c>
      <c r="D35">
        <v>0.11650000000000001</v>
      </c>
      <c r="E35">
        <v>0.15290000000000001</v>
      </c>
      <c r="F35">
        <v>0.15679999999999999</v>
      </c>
      <c r="G35">
        <v>0.17929999999999999</v>
      </c>
      <c r="H35">
        <v>0.19520000000000001</v>
      </c>
      <c r="I35">
        <v>0.20710000000000001</v>
      </c>
      <c r="J35">
        <v>0.1883</v>
      </c>
      <c r="K35">
        <v>8.43E-2</v>
      </c>
      <c r="L35">
        <v>8.7499999999999994E-2</v>
      </c>
      <c r="V35" s="1">
        <f t="shared" si="2"/>
        <v>1.0334763948497856</v>
      </c>
      <c r="W35" s="1">
        <f t="shared" si="2"/>
        <v>1.0678111587982835</v>
      </c>
      <c r="X35" s="1">
        <f t="shared" si="2"/>
        <v>1.8489270386266097</v>
      </c>
      <c r="Y35" s="1">
        <f t="shared" si="2"/>
        <v>1.9326180257510728</v>
      </c>
      <c r="Z35" s="1">
        <f t="shared" si="2"/>
        <v>2.4154506437768237</v>
      </c>
      <c r="AA35" s="1">
        <f t="shared" si="2"/>
        <v>2.7566523605150217</v>
      </c>
      <c r="AB35" s="1">
        <f t="shared" si="2"/>
        <v>3.0120171673819742</v>
      </c>
      <c r="AC35" s="1">
        <f t="shared" si="2"/>
        <v>2.6085836909871243</v>
      </c>
      <c r="AD35" s="1">
        <f t="shared" si="2"/>
        <v>0.37682403433476408</v>
      </c>
      <c r="AE35" s="1">
        <f t="shared" si="2"/>
        <v>0.44549356223175962</v>
      </c>
      <c r="AF35" s="1"/>
      <c r="AG35" s="1"/>
    </row>
    <row r="36" spans="1:33" x14ac:dyDescent="0.2">
      <c r="C36">
        <v>0.1113</v>
      </c>
      <c r="D36">
        <v>0.114</v>
      </c>
      <c r="E36">
        <v>0.1239</v>
      </c>
      <c r="F36">
        <v>0.13489999999999999</v>
      </c>
      <c r="G36">
        <v>0.1628</v>
      </c>
      <c r="H36">
        <v>0.1686</v>
      </c>
      <c r="I36">
        <v>0.19409999999999999</v>
      </c>
      <c r="J36">
        <v>0.18340000000000001</v>
      </c>
      <c r="K36">
        <v>8.8200000000000001E-2</v>
      </c>
      <c r="L36">
        <v>8.48E-2</v>
      </c>
      <c r="V36" s="1">
        <f t="shared" si="2"/>
        <v>0.9562231759656652</v>
      </c>
      <c r="W36" s="1">
        <f t="shared" si="2"/>
        <v>1.0141630901287555</v>
      </c>
      <c r="X36" s="1">
        <f t="shared" si="2"/>
        <v>1.2266094420600859</v>
      </c>
      <c r="Y36" s="1">
        <f t="shared" si="2"/>
        <v>1.4626609442060086</v>
      </c>
      <c r="Z36" s="1">
        <f t="shared" si="2"/>
        <v>2.0613733905579399</v>
      </c>
      <c r="AA36" s="1">
        <f t="shared" ref="AA36:AE47" si="3">(H36-0.06674)/0.0466</f>
        <v>2.1858369098712447</v>
      </c>
      <c r="AB36" s="1">
        <f t="shared" si="3"/>
        <v>2.7330472103004291</v>
      </c>
      <c r="AC36" s="1">
        <f t="shared" si="3"/>
        <v>2.50343347639485</v>
      </c>
      <c r="AD36" s="1">
        <f t="shared" si="3"/>
        <v>0.46051502145922757</v>
      </c>
      <c r="AE36" s="1">
        <f t="shared" si="3"/>
        <v>0.38755364806866965</v>
      </c>
      <c r="AF36" s="1"/>
      <c r="AG36" s="1"/>
    </row>
    <row r="37" spans="1:33" x14ac:dyDescent="0.2">
      <c r="C37">
        <v>9.5500000000000002E-2</v>
      </c>
      <c r="D37">
        <v>9.4299999999999995E-2</v>
      </c>
      <c r="E37">
        <v>0.1021</v>
      </c>
      <c r="F37">
        <v>0.1072</v>
      </c>
      <c r="G37">
        <v>0.1265</v>
      </c>
      <c r="H37">
        <v>0.12989999999999999</v>
      </c>
      <c r="I37">
        <v>0.14349999999999999</v>
      </c>
      <c r="J37">
        <v>0.12379999999999999</v>
      </c>
      <c r="K37">
        <v>8.2699999999999996E-2</v>
      </c>
      <c r="L37">
        <v>8.6099999999999996E-2</v>
      </c>
      <c r="V37" s="1">
        <f t="shared" ref="V37:Z47" si="4">(C37-0.06674)/0.0466</f>
        <v>0.61716738197424903</v>
      </c>
      <c r="W37" s="1">
        <f t="shared" si="4"/>
        <v>0.59141630901287556</v>
      </c>
      <c r="X37" s="1">
        <f t="shared" si="4"/>
        <v>0.75879828326180254</v>
      </c>
      <c r="Y37" s="1">
        <f t="shared" si="4"/>
        <v>0.86824034334763966</v>
      </c>
      <c r="Z37" s="1">
        <f t="shared" si="4"/>
        <v>1.282403433476395</v>
      </c>
      <c r="AA37" s="1">
        <f t="shared" si="3"/>
        <v>1.3553648068669526</v>
      </c>
      <c r="AB37" s="1">
        <f t="shared" si="3"/>
        <v>1.6472103004291843</v>
      </c>
      <c r="AC37" s="1">
        <f t="shared" si="3"/>
        <v>1.2244635193133047</v>
      </c>
      <c r="AD37" s="1">
        <f t="shared" si="3"/>
        <v>0.34248927038626614</v>
      </c>
      <c r="AE37" s="1">
        <f t="shared" si="3"/>
        <v>0.41545064377682406</v>
      </c>
      <c r="AF37" s="1"/>
      <c r="AG37" s="1"/>
    </row>
    <row r="38" spans="1:33" x14ac:dyDescent="0.2">
      <c r="C38">
        <v>9.9000000000000005E-2</v>
      </c>
      <c r="D38">
        <v>9.8000000000000004E-2</v>
      </c>
      <c r="E38">
        <v>0.1061</v>
      </c>
      <c r="F38">
        <v>0.1138</v>
      </c>
      <c r="G38">
        <v>0.12</v>
      </c>
      <c r="H38">
        <v>0.12130000000000001</v>
      </c>
      <c r="I38">
        <v>0.1368</v>
      </c>
      <c r="J38">
        <v>0.13700000000000001</v>
      </c>
      <c r="K38">
        <v>8.8099999999999998E-2</v>
      </c>
      <c r="L38">
        <v>8.48E-2</v>
      </c>
      <c r="V38" s="1">
        <f t="shared" si="4"/>
        <v>0.69227467811158816</v>
      </c>
      <c r="W38" s="1">
        <f t="shared" si="4"/>
        <v>0.67081545064377701</v>
      </c>
      <c r="X38" s="1">
        <f t="shared" si="4"/>
        <v>0.84463519313304725</v>
      </c>
      <c r="Y38" s="1">
        <f t="shared" si="4"/>
        <v>1.0098712446351932</v>
      </c>
      <c r="Z38" s="1">
        <f t="shared" si="4"/>
        <v>1.1429184549356224</v>
      </c>
      <c r="AA38" s="1">
        <f t="shared" si="3"/>
        <v>1.1708154506437769</v>
      </c>
      <c r="AB38" s="1">
        <f t="shared" si="3"/>
        <v>1.50343347639485</v>
      </c>
      <c r="AC38" s="1">
        <f t="shared" si="3"/>
        <v>1.5077253218884124</v>
      </c>
      <c r="AD38" s="1">
        <f t="shared" si="3"/>
        <v>0.45836909871244641</v>
      </c>
      <c r="AE38" s="1">
        <f t="shared" si="3"/>
        <v>0.38755364806866965</v>
      </c>
      <c r="AF38" s="1"/>
      <c r="AG38" s="1"/>
    </row>
    <row r="39" spans="1:33" x14ac:dyDescent="0.2"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x14ac:dyDescent="0.2">
      <c r="A40">
        <v>5</v>
      </c>
      <c r="B40">
        <v>29.8</v>
      </c>
      <c r="C40">
        <v>0.14760000000000001</v>
      </c>
      <c r="D40">
        <v>0.1615</v>
      </c>
      <c r="E40">
        <v>0.1545</v>
      </c>
      <c r="F40">
        <v>0.1512</v>
      </c>
      <c r="G40">
        <v>0.23100000000000001</v>
      </c>
      <c r="H40">
        <v>0.22500000000000001</v>
      </c>
      <c r="I40">
        <v>0.26140000000000002</v>
      </c>
      <c r="J40">
        <v>0.23630000000000001</v>
      </c>
      <c r="K40">
        <v>8.5599999999999996E-2</v>
      </c>
      <c r="L40">
        <v>8.3500000000000005E-2</v>
      </c>
      <c r="V40" s="1">
        <f t="shared" si="4"/>
        <v>1.7351931330472106</v>
      </c>
      <c r="W40" s="1">
        <f t="shared" si="4"/>
        <v>2.0334763948497856</v>
      </c>
      <c r="X40" s="1">
        <f t="shared" si="4"/>
        <v>1.8832618025751073</v>
      </c>
      <c r="Y40" s="1">
        <f t="shared" si="4"/>
        <v>1.8124463519313305</v>
      </c>
      <c r="Z40" s="1">
        <f t="shared" si="4"/>
        <v>3.524892703862661</v>
      </c>
      <c r="AA40" s="1">
        <f t="shared" si="3"/>
        <v>3.3961373390557941</v>
      </c>
      <c r="AB40" s="1">
        <f t="shared" si="3"/>
        <v>4.1772532188841209</v>
      </c>
      <c r="AC40" s="1">
        <f t="shared" si="3"/>
        <v>3.6386266094420603</v>
      </c>
      <c r="AD40" s="1">
        <f t="shared" si="3"/>
        <v>0.40472103004291848</v>
      </c>
      <c r="AE40" s="1">
        <f t="shared" si="3"/>
        <v>0.35965665236051525</v>
      </c>
      <c r="AF40" s="1"/>
      <c r="AG40" s="1"/>
    </row>
    <row r="41" spans="1:33" x14ac:dyDescent="0.2">
      <c r="C41">
        <v>0.1507</v>
      </c>
      <c r="D41">
        <v>0.14940000000000001</v>
      </c>
      <c r="E41">
        <v>0.18509999999999999</v>
      </c>
      <c r="F41">
        <v>0.15809999999999999</v>
      </c>
      <c r="G41">
        <v>0.29670000000000002</v>
      </c>
      <c r="H41">
        <v>0.26929999999999998</v>
      </c>
      <c r="I41">
        <v>0.33910000000000001</v>
      </c>
      <c r="J41">
        <v>0.27879999999999999</v>
      </c>
      <c r="K41">
        <v>9.3899999999999997E-2</v>
      </c>
      <c r="L41">
        <v>9.3600000000000003E-2</v>
      </c>
      <c r="V41" s="1">
        <f t="shared" si="4"/>
        <v>1.8017167381974248</v>
      </c>
      <c r="W41" s="1">
        <f t="shared" si="4"/>
        <v>1.7738197424892705</v>
      </c>
      <c r="X41" s="1">
        <f t="shared" si="4"/>
        <v>2.5399141630901285</v>
      </c>
      <c r="Y41" s="1">
        <f t="shared" si="4"/>
        <v>1.9605150214592273</v>
      </c>
      <c r="Z41" s="1">
        <f t="shared" si="4"/>
        <v>4.9347639484978547</v>
      </c>
      <c r="AA41" s="1">
        <f t="shared" si="3"/>
        <v>4.3467811158798275</v>
      </c>
      <c r="AB41" s="1">
        <f t="shared" si="3"/>
        <v>5.8446351931330476</v>
      </c>
      <c r="AC41" s="1">
        <f t="shared" si="3"/>
        <v>4.5506437768240344</v>
      </c>
      <c r="AD41" s="1">
        <f t="shared" si="3"/>
        <v>0.58283261802575115</v>
      </c>
      <c r="AE41" s="1">
        <f t="shared" si="3"/>
        <v>0.57639484978540789</v>
      </c>
      <c r="AF41" s="1"/>
      <c r="AG41" s="1"/>
    </row>
    <row r="42" spans="1:33" x14ac:dyDescent="0.2">
      <c r="C42">
        <v>0.1968</v>
      </c>
      <c r="D42">
        <v>0.1404</v>
      </c>
      <c r="E42">
        <v>0.15690000000000001</v>
      </c>
      <c r="F42">
        <v>0.14949999999999999</v>
      </c>
      <c r="G42">
        <v>0.2452</v>
      </c>
      <c r="H42">
        <v>0.22559999999999999</v>
      </c>
      <c r="I42">
        <v>0.25679999999999997</v>
      </c>
      <c r="J42">
        <v>0.26590000000000003</v>
      </c>
      <c r="K42">
        <v>8.7999999999999995E-2</v>
      </c>
      <c r="L42">
        <v>9.1399999999999995E-2</v>
      </c>
      <c r="V42" s="1">
        <f t="shared" si="4"/>
        <v>2.7909871244635194</v>
      </c>
      <c r="W42" s="1">
        <f t="shared" si="4"/>
        <v>1.58068669527897</v>
      </c>
      <c r="X42" s="1">
        <f t="shared" si="4"/>
        <v>1.9347639484978543</v>
      </c>
      <c r="Y42" s="1">
        <f t="shared" si="4"/>
        <v>1.7759656652360514</v>
      </c>
      <c r="Z42" s="1">
        <f t="shared" si="4"/>
        <v>3.8296137339055791</v>
      </c>
      <c r="AA42" s="1">
        <f t="shared" si="3"/>
        <v>3.4090128755364804</v>
      </c>
      <c r="AB42" s="1">
        <f t="shared" si="3"/>
        <v>4.0785407725321878</v>
      </c>
      <c r="AC42" s="1">
        <f t="shared" si="3"/>
        <v>4.2738197424892705</v>
      </c>
      <c r="AD42" s="1">
        <f t="shared" si="3"/>
        <v>0.45622317596566525</v>
      </c>
      <c r="AE42" s="1">
        <f t="shared" si="3"/>
        <v>0.52918454935622317</v>
      </c>
      <c r="AF42" s="1"/>
      <c r="AG42" s="1"/>
    </row>
    <row r="43" spans="1:33" x14ac:dyDescent="0.2">
      <c r="C43">
        <v>0.14849999999999999</v>
      </c>
      <c r="D43">
        <v>0.15890000000000001</v>
      </c>
      <c r="E43">
        <v>0.1663</v>
      </c>
      <c r="F43">
        <v>0.13469999999999999</v>
      </c>
      <c r="G43">
        <v>0.24629999999999999</v>
      </c>
      <c r="H43">
        <v>0.22839999999999999</v>
      </c>
      <c r="I43">
        <v>0.23200000000000001</v>
      </c>
      <c r="J43">
        <v>0.2596</v>
      </c>
      <c r="K43">
        <v>9.4100000000000003E-2</v>
      </c>
      <c r="L43">
        <v>9.4399999999999998E-2</v>
      </c>
      <c r="V43" s="1">
        <f t="shared" si="4"/>
        <v>1.7545064377682402</v>
      </c>
      <c r="W43" s="1">
        <f t="shared" si="4"/>
        <v>1.9776824034334768</v>
      </c>
      <c r="X43" s="1">
        <f t="shared" si="4"/>
        <v>2.136480686695279</v>
      </c>
      <c r="Y43" s="1">
        <f t="shared" si="4"/>
        <v>1.458369098712446</v>
      </c>
      <c r="Z43" s="1">
        <f t="shared" si="4"/>
        <v>3.8532188841201713</v>
      </c>
      <c r="AA43" s="1">
        <f t="shared" si="3"/>
        <v>3.4690987124463515</v>
      </c>
      <c r="AB43" s="1">
        <f t="shared" si="3"/>
        <v>3.5463519313304723</v>
      </c>
      <c r="AC43" s="1">
        <f t="shared" si="3"/>
        <v>4.1386266094420598</v>
      </c>
      <c r="AD43" s="1">
        <f t="shared" si="3"/>
        <v>0.58712446351931347</v>
      </c>
      <c r="AE43" s="1">
        <f t="shared" si="3"/>
        <v>0.59356223175965672</v>
      </c>
      <c r="AF43" s="1"/>
      <c r="AG43" s="1"/>
    </row>
    <row r="44" spans="1:33" x14ac:dyDescent="0.2">
      <c r="C44">
        <v>0.1149</v>
      </c>
      <c r="D44">
        <v>0.1178</v>
      </c>
      <c r="E44">
        <v>0.15</v>
      </c>
      <c r="F44">
        <v>0.1573</v>
      </c>
      <c r="G44">
        <v>0.17760000000000001</v>
      </c>
      <c r="H44">
        <v>0.19470000000000001</v>
      </c>
      <c r="I44">
        <v>0.20330000000000001</v>
      </c>
      <c r="J44">
        <v>0.18590000000000001</v>
      </c>
      <c r="K44">
        <v>8.8099999999999998E-2</v>
      </c>
      <c r="L44">
        <v>9.0300000000000005E-2</v>
      </c>
      <c r="V44" s="1">
        <f t="shared" si="4"/>
        <v>1.0334763948497856</v>
      </c>
      <c r="W44" s="1">
        <f t="shared" si="4"/>
        <v>1.095708154506438</v>
      </c>
      <c r="X44" s="1">
        <f t="shared" si="4"/>
        <v>1.7866952789699571</v>
      </c>
      <c r="Y44" s="1">
        <f t="shared" si="4"/>
        <v>1.9433476394849785</v>
      </c>
      <c r="Z44" s="1">
        <f t="shared" si="4"/>
        <v>2.3789699570815452</v>
      </c>
      <c r="AA44" s="1">
        <f t="shared" si="3"/>
        <v>2.7459227467811163</v>
      </c>
      <c r="AB44" s="1">
        <f t="shared" si="3"/>
        <v>2.9304721030042922</v>
      </c>
      <c r="AC44" s="1">
        <f t="shared" si="3"/>
        <v>2.5570815450643778</v>
      </c>
      <c r="AD44" s="1">
        <f t="shared" si="3"/>
        <v>0.45836909871244641</v>
      </c>
      <c r="AE44" s="1">
        <f t="shared" si="3"/>
        <v>0.50557939914163108</v>
      </c>
      <c r="AF44" s="1"/>
      <c r="AG44" s="1"/>
    </row>
    <row r="45" spans="1:33" x14ac:dyDescent="0.2">
      <c r="C45">
        <v>0.1237</v>
      </c>
      <c r="D45">
        <v>0.1091</v>
      </c>
      <c r="E45">
        <v>0.1225</v>
      </c>
      <c r="F45">
        <v>0.12909999999999999</v>
      </c>
      <c r="G45">
        <v>0.16650000000000001</v>
      </c>
      <c r="H45">
        <v>0.16289999999999999</v>
      </c>
      <c r="I45">
        <v>0.20130000000000001</v>
      </c>
      <c r="J45">
        <v>0.18859999999999999</v>
      </c>
      <c r="K45">
        <v>9.1700000000000004E-2</v>
      </c>
      <c r="L45">
        <v>9.2399999999999996E-2</v>
      </c>
      <c r="V45" s="1">
        <f t="shared" si="4"/>
        <v>1.2223175965665238</v>
      </c>
      <c r="W45" s="1">
        <f t="shared" si="4"/>
        <v>0.9090128755364808</v>
      </c>
      <c r="X45" s="1">
        <f t="shared" si="4"/>
        <v>1.1965665236051501</v>
      </c>
      <c r="Y45" s="1">
        <f t="shared" si="4"/>
        <v>1.3381974248927038</v>
      </c>
      <c r="Z45" s="1">
        <f t="shared" si="4"/>
        <v>2.1407725321888416</v>
      </c>
      <c r="AA45" s="1">
        <f t="shared" si="3"/>
        <v>2.0635193133047207</v>
      </c>
      <c r="AB45" s="1">
        <f t="shared" si="3"/>
        <v>2.8875536480686694</v>
      </c>
      <c r="AC45" s="1">
        <f t="shared" si="3"/>
        <v>2.6150214592274676</v>
      </c>
      <c r="AD45" s="1">
        <f t="shared" si="3"/>
        <v>0.53562231759656675</v>
      </c>
      <c r="AE45" s="1">
        <f t="shared" si="3"/>
        <v>0.55064377682403431</v>
      </c>
      <c r="AF45" s="1"/>
      <c r="AG45" s="1"/>
    </row>
    <row r="46" spans="1:33" x14ac:dyDescent="0.2">
      <c r="C46">
        <v>9.8100000000000007E-2</v>
      </c>
      <c r="D46">
        <v>9.4200000000000006E-2</v>
      </c>
      <c r="E46">
        <v>0.10199999999999999</v>
      </c>
      <c r="F46">
        <v>0.10730000000000001</v>
      </c>
      <c r="G46">
        <v>0.12740000000000001</v>
      </c>
      <c r="H46">
        <v>0.12859999999999999</v>
      </c>
      <c r="I46">
        <v>0.1429</v>
      </c>
      <c r="J46">
        <v>0.12280000000000001</v>
      </c>
      <c r="K46">
        <v>8.6900000000000005E-2</v>
      </c>
      <c r="L46">
        <v>8.8800000000000004E-2</v>
      </c>
      <c r="V46" s="1">
        <f t="shared" si="4"/>
        <v>0.67296137339055817</v>
      </c>
      <c r="W46" s="1">
        <f t="shared" si="4"/>
        <v>0.58927038626609463</v>
      </c>
      <c r="X46" s="1">
        <f t="shared" si="4"/>
        <v>0.75665236051502138</v>
      </c>
      <c r="Y46" s="1">
        <f t="shared" si="4"/>
        <v>0.87038626609442082</v>
      </c>
      <c r="Z46" s="1">
        <f t="shared" si="4"/>
        <v>1.3017167381974253</v>
      </c>
      <c r="AA46" s="1">
        <f t="shared" si="3"/>
        <v>1.3274678111587981</v>
      </c>
      <c r="AB46" s="1">
        <f t="shared" si="3"/>
        <v>1.634334763948498</v>
      </c>
      <c r="AC46" s="1">
        <f t="shared" si="3"/>
        <v>1.2030042918454937</v>
      </c>
      <c r="AD46" s="1">
        <f t="shared" si="3"/>
        <v>0.43261802575107317</v>
      </c>
      <c r="AE46" s="1">
        <f t="shared" si="3"/>
        <v>0.47339055793991436</v>
      </c>
      <c r="AF46" s="1"/>
      <c r="AG46" s="1"/>
    </row>
    <row r="47" spans="1:33" x14ac:dyDescent="0.2">
      <c r="C47">
        <v>0.1023</v>
      </c>
      <c r="D47">
        <v>9.4899999999999998E-2</v>
      </c>
      <c r="E47">
        <v>0.10630000000000001</v>
      </c>
      <c r="F47">
        <v>0.1118</v>
      </c>
      <c r="G47">
        <v>0.1132</v>
      </c>
      <c r="H47">
        <v>0.1221</v>
      </c>
      <c r="I47">
        <v>0.13930000000000001</v>
      </c>
      <c r="J47">
        <v>0.1426</v>
      </c>
      <c r="K47">
        <v>8.5199999999999998E-2</v>
      </c>
      <c r="L47">
        <v>8.9099999999999999E-2</v>
      </c>
      <c r="V47" s="1">
        <f t="shared" si="4"/>
        <v>0.76309012875536497</v>
      </c>
      <c r="W47" s="1">
        <f t="shared" si="4"/>
        <v>0.6042918454935623</v>
      </c>
      <c r="X47" s="1">
        <f t="shared" si="4"/>
        <v>0.84892703862660968</v>
      </c>
      <c r="Y47" s="1">
        <f t="shared" si="4"/>
        <v>0.96695278969957077</v>
      </c>
      <c r="Z47" s="1">
        <f t="shared" si="4"/>
        <v>0.99699570815450644</v>
      </c>
      <c r="AA47" s="1">
        <f t="shared" si="3"/>
        <v>1.1879828326180257</v>
      </c>
      <c r="AB47" s="1">
        <f t="shared" si="3"/>
        <v>1.5570815450643778</v>
      </c>
      <c r="AC47" s="1">
        <f t="shared" si="3"/>
        <v>1.6278969957081546</v>
      </c>
      <c r="AD47" s="1">
        <f t="shared" si="3"/>
        <v>0.39613733905579407</v>
      </c>
      <c r="AE47" s="1">
        <f t="shared" si="3"/>
        <v>0.47982832618025761</v>
      </c>
      <c r="AF47" s="1"/>
      <c r="AG47" s="1"/>
    </row>
    <row r="48" spans="1:33" ht="17" thickBot="1" x14ac:dyDescent="0.25">
      <c r="V48" t="s">
        <v>11</v>
      </c>
    </row>
    <row r="49" spans="1:33" x14ac:dyDescent="0.2">
      <c r="A49" t="s">
        <v>9</v>
      </c>
      <c r="U49" t="s">
        <v>13</v>
      </c>
      <c r="V49" s="2">
        <f>AVERAGE(V40,V31,V22,V13,V4)</f>
        <v>1.7785407725321889</v>
      </c>
      <c r="W49" s="3">
        <f t="shared" ref="W49:AE49" si="5">AVERAGE(W40,W31,W22,W13,W4)</f>
        <v>1.8587982832618024</v>
      </c>
      <c r="X49" s="3">
        <f t="shared" si="5"/>
        <v>1.8875536480686694</v>
      </c>
      <c r="Y49" s="3">
        <f t="shared" si="5"/>
        <v>1.7450643776824033</v>
      </c>
      <c r="Z49" s="3">
        <f t="shared" si="5"/>
        <v>3.4004291845493562</v>
      </c>
      <c r="AA49" s="3">
        <f t="shared" si="5"/>
        <v>3.2257510729613736</v>
      </c>
      <c r="AB49" s="3">
        <f t="shared" si="5"/>
        <v>3.8871244635193136</v>
      </c>
      <c r="AC49" s="3">
        <f t="shared" si="5"/>
        <v>3.4060085836909879</v>
      </c>
      <c r="AD49" s="3">
        <f t="shared" si="5"/>
        <v>0.37424892703862672</v>
      </c>
      <c r="AE49" s="4">
        <f t="shared" si="5"/>
        <v>0.35278969957081557</v>
      </c>
      <c r="AF49" s="11"/>
      <c r="AG49" s="11"/>
    </row>
    <row r="50" spans="1:33" x14ac:dyDescent="0.2">
      <c r="A50" t="s">
        <v>10</v>
      </c>
      <c r="V50" s="5">
        <f t="shared" ref="V50:AE56" si="6">AVERAGE(V41,V32,V23,V14,V5)</f>
        <v>1.6583690987124462</v>
      </c>
      <c r="W50" s="11">
        <f t="shared" si="6"/>
        <v>1.8854077253218886</v>
      </c>
      <c r="X50" s="11">
        <f t="shared" si="6"/>
        <v>2.2652360515021459</v>
      </c>
      <c r="Y50" s="11">
        <f t="shared" si="6"/>
        <v>2.1051502145922747</v>
      </c>
      <c r="Z50" s="11">
        <f t="shared" si="6"/>
        <v>4.5892703862660946</v>
      </c>
      <c r="AA50" s="11">
        <f t="shared" si="6"/>
        <v>3.8450643776824029</v>
      </c>
      <c r="AB50" s="11">
        <f t="shared" si="6"/>
        <v>5.4545064377682397</v>
      </c>
      <c r="AC50" s="11">
        <f t="shared" si="6"/>
        <v>4.1871244635193134</v>
      </c>
      <c r="AD50" s="11">
        <f t="shared" si="6"/>
        <v>0.53519313304721039</v>
      </c>
      <c r="AE50" s="14">
        <f t="shared" si="6"/>
        <v>0.42961373390557955</v>
      </c>
      <c r="AF50" s="11"/>
      <c r="AG50" s="11"/>
    </row>
    <row r="51" spans="1:33" x14ac:dyDescent="0.2">
      <c r="V51" s="5">
        <f t="shared" si="6"/>
        <v>2.8373390557939913</v>
      </c>
      <c r="W51" s="11">
        <f t="shared" si="6"/>
        <v>1.6854077253218887</v>
      </c>
      <c r="X51" s="11">
        <f t="shared" si="6"/>
        <v>1.8721030042918456</v>
      </c>
      <c r="Y51" s="11">
        <f t="shared" si="6"/>
        <v>1.7</v>
      </c>
      <c r="Z51" s="11">
        <f t="shared" si="6"/>
        <v>3.4253218884120171</v>
      </c>
      <c r="AA51" s="11">
        <f t="shared" si="6"/>
        <v>2.9103004291845496</v>
      </c>
      <c r="AB51" s="11">
        <f t="shared" si="6"/>
        <v>3.5480686695278969</v>
      </c>
      <c r="AC51" s="11">
        <f t="shared" si="6"/>
        <v>3.5969957081545068</v>
      </c>
      <c r="AD51" s="11">
        <f t="shared" si="6"/>
        <v>0.41931330472103018</v>
      </c>
      <c r="AE51" s="14">
        <f t="shared" si="6"/>
        <v>0.39527896995708167</v>
      </c>
      <c r="AF51" s="11"/>
      <c r="AG51" s="11"/>
    </row>
    <row r="52" spans="1:33" x14ac:dyDescent="0.2">
      <c r="V52" s="5">
        <f t="shared" si="6"/>
        <v>1.7854077253218885</v>
      </c>
      <c r="W52" s="11">
        <f t="shared" si="6"/>
        <v>2.0480686695278969</v>
      </c>
      <c r="X52" s="11">
        <f t="shared" si="6"/>
        <v>1.8901287553648072</v>
      </c>
      <c r="Y52" s="11">
        <f t="shared" si="6"/>
        <v>1.5665236051502149</v>
      </c>
      <c r="Z52" s="11">
        <f t="shared" si="6"/>
        <v>3.4098712446351924</v>
      </c>
      <c r="AA52" s="11">
        <f t="shared" si="6"/>
        <v>2.9223175965665233</v>
      </c>
      <c r="AB52" s="11">
        <f t="shared" si="6"/>
        <v>3.0218884120171676</v>
      </c>
      <c r="AC52" s="11">
        <f t="shared" si="6"/>
        <v>3.6862660944206005</v>
      </c>
      <c r="AD52" s="11">
        <f t="shared" si="6"/>
        <v>0.42489270386266115</v>
      </c>
      <c r="AE52" s="14">
        <f t="shared" si="6"/>
        <v>0.42231759656652368</v>
      </c>
      <c r="AF52" s="11"/>
      <c r="AG52" s="11"/>
    </row>
    <row r="53" spans="1:33" x14ac:dyDescent="0.2">
      <c r="U53" t="s">
        <v>14</v>
      </c>
      <c r="V53" s="5">
        <f t="shared" si="6"/>
        <v>1.0175965665236053</v>
      </c>
      <c r="W53" s="11">
        <f t="shared" si="6"/>
        <v>1.0682403433476395</v>
      </c>
      <c r="X53" s="11">
        <f t="shared" si="6"/>
        <v>1.8206008583690987</v>
      </c>
      <c r="Y53" s="11">
        <f t="shared" si="6"/>
        <v>1.8244635193133045</v>
      </c>
      <c r="Z53" s="11">
        <f t="shared" si="6"/>
        <v>2.2879828326180256</v>
      </c>
      <c r="AA53" s="11">
        <f t="shared" si="6"/>
        <v>2.6317596566523607</v>
      </c>
      <c r="AB53" s="11">
        <f t="shared" si="6"/>
        <v>2.9236051502145926</v>
      </c>
      <c r="AC53" s="11">
        <f t="shared" si="6"/>
        <v>2.4811158798283262</v>
      </c>
      <c r="AD53" s="11">
        <f t="shared" si="6"/>
        <v>0.4072961373390559</v>
      </c>
      <c r="AE53" s="14">
        <f t="shared" si="6"/>
        <v>0.47510729613733921</v>
      </c>
      <c r="AF53" s="11"/>
      <c r="AG53" s="11"/>
    </row>
    <row r="54" spans="1:33" x14ac:dyDescent="0.2">
      <c r="V54" s="5">
        <f t="shared" si="6"/>
        <v>0.97510729613733904</v>
      </c>
      <c r="W54" s="11">
        <f t="shared" si="6"/>
        <v>0.94034334763948524</v>
      </c>
      <c r="X54" s="11">
        <f t="shared" si="6"/>
        <v>1.1858369098712447</v>
      </c>
      <c r="Y54" s="11">
        <f t="shared" si="6"/>
        <v>1.3510729613733905</v>
      </c>
      <c r="Z54" s="11">
        <f t="shared" si="6"/>
        <v>1.9660944206008586</v>
      </c>
      <c r="AA54" s="11">
        <f t="shared" si="6"/>
        <v>2.0828326180257508</v>
      </c>
      <c r="AB54" s="11">
        <f t="shared" si="6"/>
        <v>2.5669527896995707</v>
      </c>
      <c r="AC54" s="11">
        <f t="shared" si="6"/>
        <v>2.3476394849785409</v>
      </c>
      <c r="AD54" s="11">
        <f t="shared" si="6"/>
        <v>0.44034334763948513</v>
      </c>
      <c r="AE54" s="14">
        <f t="shared" si="6"/>
        <v>0.41974248927038643</v>
      </c>
      <c r="AF54" s="11"/>
      <c r="AG54" s="11"/>
    </row>
    <row r="55" spans="1:33" x14ac:dyDescent="0.2">
      <c r="V55" s="5">
        <f t="shared" si="6"/>
        <v>0.63304721030042932</v>
      </c>
      <c r="W55" s="11">
        <f t="shared" si="6"/>
        <v>0.5832618025751074</v>
      </c>
      <c r="X55" s="11">
        <f t="shared" si="6"/>
        <v>0.75407725321888408</v>
      </c>
      <c r="Y55" s="11">
        <f t="shared" si="6"/>
        <v>0.85364806866952814</v>
      </c>
      <c r="Z55" s="11">
        <f t="shared" si="6"/>
        <v>1.2141630901287557</v>
      </c>
      <c r="AA55" s="11">
        <f t="shared" si="6"/>
        <v>1.2905579399141633</v>
      </c>
      <c r="AB55" s="11">
        <f t="shared" si="6"/>
        <v>1.5721030042918456</v>
      </c>
      <c r="AC55" s="11">
        <f t="shared" si="6"/>
        <v>1.1708154506437769</v>
      </c>
      <c r="AD55" s="11">
        <f t="shared" si="6"/>
        <v>0.37339055793991427</v>
      </c>
      <c r="AE55" s="14">
        <f t="shared" si="6"/>
        <v>0.41673819742489282</v>
      </c>
      <c r="AF55" s="11"/>
      <c r="AG55" s="11"/>
    </row>
    <row r="56" spans="1:33" ht="17" thickBot="1" x14ac:dyDescent="0.25">
      <c r="V56" s="6">
        <f t="shared" si="6"/>
        <v>0.6909871244635194</v>
      </c>
      <c r="W56" s="7">
        <f t="shared" si="6"/>
        <v>0.61802575107296143</v>
      </c>
      <c r="X56" s="7">
        <f t="shared" si="6"/>
        <v>0.81287553648068689</v>
      </c>
      <c r="Y56" s="7">
        <f t="shared" si="6"/>
        <v>0.99227467811158798</v>
      </c>
      <c r="Z56" s="7">
        <f t="shared" si="6"/>
        <v>1.0373390557939914</v>
      </c>
      <c r="AA56" s="7">
        <f t="shared" si="6"/>
        <v>1.1090128755364808</v>
      </c>
      <c r="AB56" s="7">
        <f t="shared" si="6"/>
        <v>1.4137339055793994</v>
      </c>
      <c r="AC56" s="7">
        <f t="shared" si="6"/>
        <v>1.4270386266094419</v>
      </c>
      <c r="AD56" s="7">
        <f t="shared" si="6"/>
        <v>0.4120171673819743</v>
      </c>
      <c r="AE56" s="15">
        <f t="shared" si="6"/>
        <v>0.3849785407725323</v>
      </c>
      <c r="AF56" s="11"/>
      <c r="AG56" s="11"/>
    </row>
    <row r="57" spans="1:33" ht="17" thickBot="1" x14ac:dyDescent="0.25">
      <c r="V57" t="s">
        <v>12</v>
      </c>
    </row>
    <row r="58" spans="1:33" x14ac:dyDescent="0.2">
      <c r="U58" t="s">
        <v>13</v>
      </c>
      <c r="V58" s="10">
        <f>AVERAGE((V49:W52))</f>
        <v>1.9421673819742491</v>
      </c>
      <c r="W58" s="16"/>
      <c r="X58" s="10">
        <f>AVERAGE((X49:Y52))</f>
        <v>1.878969957081545</v>
      </c>
      <c r="Y58" s="16"/>
      <c r="Z58" s="10">
        <f>AVERAGE((Z49:AA52))</f>
        <v>3.4660407725321885</v>
      </c>
      <c r="AA58" s="16"/>
      <c r="AB58" s="10">
        <f>AVERAGE((AB49:AC52))</f>
        <v>3.848497854077253</v>
      </c>
      <c r="AC58" s="16"/>
      <c r="AD58" s="10">
        <f>AVERAGE((AD49:AE52))</f>
        <v>0.41920600858369111</v>
      </c>
      <c r="AE58" s="16"/>
    </row>
    <row r="59" spans="1:33" x14ac:dyDescent="0.2">
      <c r="U59" t="s">
        <v>21</v>
      </c>
      <c r="V59" s="17">
        <f>STDEV(V49:W52)</f>
        <v>0.38182526252126409</v>
      </c>
      <c r="W59" s="17"/>
      <c r="X59" s="17">
        <f t="shared" ref="W59:AD59" si="7">STDEV(X49:Y52)</f>
        <v>0.22302723431534352</v>
      </c>
      <c r="Y59" s="17"/>
      <c r="Z59" s="17">
        <f t="shared" si="7"/>
        <v>0.54466804350669429</v>
      </c>
      <c r="AA59" s="17"/>
      <c r="AB59" s="17">
        <f t="shared" si="7"/>
        <v>0.73234785438461636</v>
      </c>
      <c r="AC59" s="17"/>
      <c r="AD59" s="17">
        <f t="shared" si="7"/>
        <v>5.4258816590362448E-2</v>
      </c>
      <c r="AE59" s="18"/>
    </row>
    <row r="60" spans="1:33" x14ac:dyDescent="0.2">
      <c r="V60" s="8"/>
      <c r="W60" s="19"/>
      <c r="X60" s="8"/>
      <c r="Y60" s="19"/>
      <c r="Z60" s="8"/>
      <c r="AA60" s="19"/>
      <c r="AB60" s="8"/>
      <c r="AC60" s="19"/>
      <c r="AD60" s="8"/>
      <c r="AE60" s="19"/>
      <c r="AF60" s="12"/>
      <c r="AG60" s="12"/>
    </row>
    <row r="61" spans="1:33" ht="17" thickBot="1" x14ac:dyDescent="0.25">
      <c r="V61" s="9"/>
      <c r="W61" s="20"/>
      <c r="X61" s="9"/>
      <c r="Y61" s="20"/>
      <c r="Z61" s="9"/>
      <c r="AA61" s="20"/>
      <c r="AB61" s="9"/>
      <c r="AC61" s="20"/>
      <c r="AD61" s="9"/>
      <c r="AE61" s="20"/>
      <c r="AF61" s="12"/>
      <c r="AG61" s="12"/>
    </row>
    <row r="62" spans="1:33" x14ac:dyDescent="0.2">
      <c r="U62" t="s">
        <v>14</v>
      </c>
      <c r="V62" s="10">
        <f>AVERAGE((V53:W56))</f>
        <v>0.81582618025751075</v>
      </c>
      <c r="W62" s="16"/>
      <c r="X62" s="10">
        <f>AVERAGE((X53:Y56))</f>
        <v>1.1993562231759656</v>
      </c>
      <c r="Y62" s="16"/>
      <c r="Z62" s="10">
        <f>AVERAGE((Z53:AA56))</f>
        <v>1.7024678111587983</v>
      </c>
      <c r="AA62" s="16"/>
      <c r="AB62" s="10">
        <f>AVERAGE((AB53:AC56))</f>
        <v>1.9878755364806868</v>
      </c>
      <c r="AC62" s="16"/>
      <c r="AD62" s="10">
        <f>AVERAGE((AD53:AE56))</f>
        <v>0.41620171673819756</v>
      </c>
      <c r="AE62" s="16"/>
      <c r="AF62" s="12"/>
      <c r="AG62" s="12"/>
    </row>
    <row r="63" spans="1:33" x14ac:dyDescent="0.2">
      <c r="U63" t="s">
        <v>21</v>
      </c>
      <c r="V63" s="17">
        <f>STDEV(V53:W56)</f>
        <v>0.20266204754774725</v>
      </c>
      <c r="W63" s="17"/>
      <c r="X63" s="17">
        <f t="shared" ref="W63:AD63" si="8">STDEV(X53:Y56)</f>
        <v>0.43259059259219634</v>
      </c>
      <c r="Y63" s="17"/>
      <c r="Z63" s="17">
        <f t="shared" si="8"/>
        <v>0.61217222301299534</v>
      </c>
      <c r="AA63" s="17"/>
      <c r="AB63" s="17">
        <f t="shared" si="8"/>
        <v>0.66206032788960667</v>
      </c>
      <c r="AC63" s="17"/>
      <c r="AD63" s="17">
        <f t="shared" si="8"/>
        <v>3.1554968685857873E-2</v>
      </c>
      <c r="AE63" s="18"/>
      <c r="AF63" s="12"/>
      <c r="AG63" s="12"/>
    </row>
    <row r="64" spans="1:33" x14ac:dyDescent="0.2">
      <c r="V64" s="8"/>
      <c r="W64" s="19"/>
      <c r="X64" s="8"/>
      <c r="Y64" s="19"/>
      <c r="Z64" s="8"/>
      <c r="AA64" s="19"/>
      <c r="AB64" s="8"/>
      <c r="AC64" s="19"/>
      <c r="AD64" s="8"/>
      <c r="AE64" s="19"/>
      <c r="AF64" s="12"/>
      <c r="AG64" s="12"/>
    </row>
    <row r="65" spans="21:33" ht="17" thickBot="1" x14ac:dyDescent="0.25">
      <c r="V65" s="9"/>
      <c r="W65" s="20"/>
      <c r="X65" s="9"/>
      <c r="Y65" s="20"/>
      <c r="Z65" s="9"/>
      <c r="AA65" s="20"/>
      <c r="AB65" s="9"/>
      <c r="AC65" s="20"/>
      <c r="AD65" s="9"/>
      <c r="AE65" s="20"/>
      <c r="AF65" s="12"/>
      <c r="AG65" s="12"/>
    </row>
    <row r="66" spans="21:33" x14ac:dyDescent="0.2">
      <c r="V66" s="12" t="s">
        <v>15</v>
      </c>
      <c r="W66" s="12"/>
      <c r="X66" s="12" t="s">
        <v>16</v>
      </c>
      <c r="Y66" s="12"/>
      <c r="Z66" s="12" t="s">
        <v>17</v>
      </c>
      <c r="AA66" s="12"/>
      <c r="AB66" s="12" t="s">
        <v>18</v>
      </c>
      <c r="AC66" s="12"/>
      <c r="AD66" s="12" t="s">
        <v>19</v>
      </c>
      <c r="AE66" s="12"/>
      <c r="AF66" s="12"/>
      <c r="AG66" s="12"/>
    </row>
    <row r="67" spans="21:33" ht="17" thickBot="1" x14ac:dyDescent="0.25"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21:33" ht="17" thickBot="1" x14ac:dyDescent="0.25">
      <c r="U68" t="s">
        <v>22</v>
      </c>
      <c r="V68" s="10">
        <v>1.9421673819742491</v>
      </c>
      <c r="W68" s="10">
        <v>1.878969957081545</v>
      </c>
      <c r="X68" s="10">
        <v>3.4660407725321885</v>
      </c>
      <c r="Y68" s="10">
        <v>3.848497854077253</v>
      </c>
      <c r="Z68" s="21">
        <v>0.41920600858369111</v>
      </c>
    </row>
    <row r="69" spans="21:33" ht="17" thickBot="1" x14ac:dyDescent="0.25">
      <c r="U69" t="s">
        <v>14</v>
      </c>
      <c r="V69" s="22">
        <v>0.81582618025751075</v>
      </c>
      <c r="W69" s="22">
        <v>1.1993562231759656</v>
      </c>
      <c r="X69" s="22">
        <v>1.7024678111587983</v>
      </c>
      <c r="Y69" s="22">
        <v>1.9878755364806868</v>
      </c>
      <c r="Z69" s="23">
        <v>0.41620171673819756</v>
      </c>
    </row>
    <row r="70" spans="21:33" x14ac:dyDescent="0.2">
      <c r="V70" s="12" t="s">
        <v>15</v>
      </c>
      <c r="W70" s="12" t="s">
        <v>16</v>
      </c>
      <c r="X70" s="12" t="s">
        <v>17</v>
      </c>
      <c r="Y70" s="12" t="s">
        <v>18</v>
      </c>
      <c r="Z70" s="12" t="s">
        <v>19</v>
      </c>
      <c r="AA70" s="12"/>
      <c r="AC70" s="12"/>
      <c r="AE70" s="12"/>
      <c r="AF70" s="12"/>
      <c r="AG70" s="12"/>
    </row>
    <row r="71" spans="21:33" x14ac:dyDescent="0.2">
      <c r="U71" s="12"/>
      <c r="W71" s="12"/>
      <c r="Y71" s="12"/>
      <c r="Z71" s="12"/>
      <c r="AA71" s="12"/>
    </row>
    <row r="72" spans="21:33" x14ac:dyDescent="0.2">
      <c r="Z72" s="12"/>
      <c r="AA72" s="12"/>
    </row>
    <row r="73" spans="21:33" x14ac:dyDescent="0.2">
      <c r="Z73" s="12"/>
      <c r="AA73" s="12"/>
    </row>
    <row r="74" spans="21:33" x14ac:dyDescent="0.2">
      <c r="U74" s="12"/>
      <c r="Z74" s="12"/>
      <c r="AA74" s="12"/>
    </row>
    <row r="75" spans="21:33" x14ac:dyDescent="0.2">
      <c r="Z75" s="12"/>
      <c r="AA75" s="12"/>
      <c r="AC75" s="12"/>
      <c r="AE75" s="12"/>
      <c r="AF75" s="12"/>
      <c r="AG75" s="12"/>
    </row>
    <row r="76" spans="21:33" x14ac:dyDescent="0.2">
      <c r="AA76" s="12"/>
      <c r="AC76" s="12"/>
      <c r="AE76" s="12"/>
      <c r="AF76" s="12"/>
      <c r="AG76" s="12"/>
    </row>
    <row r="77" spans="21:33" x14ac:dyDescent="0.2">
      <c r="Z77" s="12"/>
      <c r="AA77" s="12"/>
      <c r="AB77" s="12"/>
      <c r="AC77" s="12"/>
      <c r="AD77" s="12"/>
      <c r="AE77" s="12"/>
      <c r="AF77" s="12"/>
      <c r="AG77" s="12"/>
    </row>
    <row r="78" spans="21:33" x14ac:dyDescent="0.2"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 spans="21:33" x14ac:dyDescent="0.2"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 spans="21:33" x14ac:dyDescent="0.2"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22:33" x14ac:dyDescent="0.2"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22:33" x14ac:dyDescent="0.2"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22:33" x14ac:dyDescent="0.2"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22:33" x14ac:dyDescent="0.2"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22:33" x14ac:dyDescent="0.2"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22:33" x14ac:dyDescent="0.2"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22:33" x14ac:dyDescent="0.2"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22:33" x14ac:dyDescent="0.2"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22:33" x14ac:dyDescent="0.2"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22:33" x14ac:dyDescent="0.2"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22:33" x14ac:dyDescent="0.2"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22:33" x14ac:dyDescent="0.2"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22:33" x14ac:dyDescent="0.2"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22:33" x14ac:dyDescent="0.2"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22:33" x14ac:dyDescent="0.2"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7" spans="22:33" x14ac:dyDescent="0.2"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spans="22:33" x14ac:dyDescent="0.2"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spans="22:33" x14ac:dyDescent="0.2"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spans="22:33" x14ac:dyDescent="0.2"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spans="22:33" x14ac:dyDescent="0.2"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spans="22:33" x14ac:dyDescent="0.2"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spans="22:33" x14ac:dyDescent="0.2"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spans="22:33" x14ac:dyDescent="0.2"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8" spans="22:33" x14ac:dyDescent="0.2"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22:33" x14ac:dyDescent="0.2"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22:33" x14ac:dyDescent="0.2"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22:33" x14ac:dyDescent="0.2"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22:33" x14ac:dyDescent="0.2"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22:33" x14ac:dyDescent="0.2"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22:33" x14ac:dyDescent="0.2"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22:33" x14ac:dyDescent="0.2"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8" spans="22:33" x14ac:dyDescent="0.2"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22:33" x14ac:dyDescent="0.2"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22:33" x14ac:dyDescent="0.2"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22:33" x14ac:dyDescent="0.2"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22:33" x14ac:dyDescent="0.2"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22:33" x14ac:dyDescent="0.2"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22:33" x14ac:dyDescent="0.2"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22:33" x14ac:dyDescent="0.2"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260116_rom_growth_beads_day2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Ramos Báez</dc:creator>
  <cp:lastModifiedBy>Román Ramos Báez</cp:lastModifiedBy>
  <dcterms:created xsi:type="dcterms:W3CDTF">2026-01-16T18:59:03Z</dcterms:created>
  <dcterms:modified xsi:type="dcterms:W3CDTF">2026-02-16T05:54:48Z</dcterms:modified>
</cp:coreProperties>
</file>