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Yeast Growth conditions paper/"/>
    </mc:Choice>
  </mc:AlternateContent>
  <xr:revisionPtr revIDLastSave="0" documentId="13_ncr:1_{075BDD50-F0D2-734C-A571-262EA4F238B4}" xr6:coauthVersionLast="47" xr6:coauthVersionMax="47" xr10:uidLastSave="{00000000-0000-0000-0000-000000000000}"/>
  <bookViews>
    <workbookView xWindow="0" yWindow="600" windowWidth="28800" windowHeight="15600" xr2:uid="{C8BB661A-0CC0-B64B-A5CF-B3CD76E86606}"/>
  </bookViews>
  <sheets>
    <sheet name="260122_rom_supplements_pombe_b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5" i="1"/>
  <c r="D36" i="1"/>
  <c r="D33" i="1"/>
  <c r="D30" i="1"/>
  <c r="D31" i="1"/>
  <c r="D32" i="1"/>
  <c r="D29" i="1"/>
  <c r="C34" i="1"/>
  <c r="C35" i="1"/>
  <c r="C36" i="1"/>
  <c r="C33" i="1"/>
  <c r="C30" i="1"/>
  <c r="C31" i="1"/>
  <c r="C32" i="1"/>
  <c r="C29" i="1"/>
  <c r="D21" i="1"/>
  <c r="E21" i="1"/>
  <c r="F21" i="1"/>
  <c r="G21" i="1"/>
  <c r="H21" i="1"/>
  <c r="I21" i="1"/>
  <c r="J21" i="1"/>
  <c r="K21" i="1"/>
  <c r="L21" i="1"/>
  <c r="M21" i="1"/>
  <c r="N21" i="1"/>
  <c r="D22" i="1"/>
  <c r="E22" i="1"/>
  <c r="F22" i="1"/>
  <c r="G22" i="1"/>
  <c r="H22" i="1"/>
  <c r="I22" i="1"/>
  <c r="J22" i="1"/>
  <c r="K22" i="1"/>
  <c r="L22" i="1"/>
  <c r="M22" i="1"/>
  <c r="N22" i="1"/>
  <c r="D23" i="1"/>
  <c r="E23" i="1"/>
  <c r="F23" i="1"/>
  <c r="G23" i="1"/>
  <c r="H23" i="1"/>
  <c r="I23" i="1"/>
  <c r="J23" i="1"/>
  <c r="K23" i="1"/>
  <c r="L23" i="1"/>
  <c r="M23" i="1"/>
  <c r="N23" i="1"/>
  <c r="C23" i="1"/>
  <c r="C22" i="1"/>
  <c r="C21" i="1"/>
  <c r="D20" i="1"/>
  <c r="E20" i="1"/>
  <c r="F20" i="1"/>
  <c r="G20" i="1"/>
  <c r="H20" i="1"/>
  <c r="I20" i="1"/>
  <c r="J20" i="1"/>
  <c r="K20" i="1"/>
  <c r="L20" i="1"/>
  <c r="M20" i="1"/>
  <c r="N20" i="1"/>
  <c r="C20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C18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C13" i="1"/>
  <c r="C14" i="1"/>
  <c r="C15" i="1"/>
  <c r="C16" i="1"/>
  <c r="C12" i="1"/>
</calcChain>
</file>

<file path=xl/sharedStrings.xml><?xml version="1.0" encoding="utf-8"?>
<sst xmlns="http://schemas.openxmlformats.org/spreadsheetml/2006/main" count="121" uniqueCount="119">
  <si>
    <t>##BLOCKS= 1</t>
  </si>
  <si>
    <t>Plate:</t>
  </si>
  <si>
    <t>Plate5</t>
  </si>
  <si>
    <t>TimeFormat</t>
  </si>
  <si>
    <t>Well Scan</t>
  </si>
  <si>
    <t>Absorbance</t>
  </si>
  <si>
    <t>Raw</t>
  </si>
  <si>
    <t>Horizontal Line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</si>
  <si>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</si>
  <si>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</si>
  <si>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</si>
  <si>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</si>
  <si>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</si>
  <si>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</si>
  <si>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</si>
  <si>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</si>
  <si>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</si>
  <si>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</si>
  <si>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</si>
  <si>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</si>
  <si>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</si>
  <si>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</si>
  <si>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</si>
  <si>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</si>
  <si>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</si>
  <si>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</si>
  <si>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</si>
  <si>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</si>
  <si>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</si>
  <si>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</si>
  <si>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</si>
  <si>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</si>
  <si>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</si>
  <si>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</si>
  <si>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</si>
  <si>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</si>
  <si>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</si>
  <si>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</si>
  <si>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</si>
  <si>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</si>
  <si>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</si>
  <si>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</si>
  <si>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</si>
  <si>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</si>
  <si>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</si>
  <si>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</si>
  <si>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</si>
  <si>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</si>
  <si>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</si>
  <si>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</si>
  <si>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</si>
  <si>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</si>
  <si>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</si>
  <si>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</si>
  <si>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</si>
  <si>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</si>
  <si>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</si>
  <si>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</si>
  <si>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</si>
  <si>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</si>
  <si>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</si>
  <si>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</si>
  <si>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</si>
  <si>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</si>
  <si>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</si>
  <si>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</si>
  <si>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</si>
  <si>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</si>
  <si>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</si>
  <si>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</si>
  <si>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</si>
  <si>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</si>
  <si>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</si>
  <si>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</si>
  <si>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</si>
  <si>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</si>
  <si>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</si>
  <si>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</si>
  <si>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</si>
  <si>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</si>
  <si>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</si>
  <si>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</si>
  <si>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</si>
  <si>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</si>
  <si>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</si>
  <si>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</si>
  <si>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</si>
  <si>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</si>
  <si>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</si>
  <si>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</si>
  <si>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</si>
  <si>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</si>
  <si>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</si>
  <si>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</si>
  <si>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</si>
  <si>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</si>
  <si>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</si>
  <si>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</si>
  <si>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</si>
  <si>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</si>
  <si>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</si>
  <si>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</si>
  <si>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</si>
  <si>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</si>
  <si>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</si>
  <si>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</si>
  <si>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260122_rom_supplements_pombe_beads_pub; Date Last Saved: 1/23/2026 10:15:24 AM</t>
  </si>
  <si>
    <t>2. These are the Ods averages across the scan.</t>
  </si>
  <si>
    <t>3. Now let's arrange them by treatments.</t>
  </si>
  <si>
    <t>A</t>
  </si>
  <si>
    <t>B</t>
  </si>
  <si>
    <t>C</t>
  </si>
  <si>
    <t>D</t>
  </si>
  <si>
    <t>4. finally, let's avergae by treatment across bio replicates.</t>
  </si>
  <si>
    <t>dea2^</t>
  </si>
  <si>
    <t>SP286</t>
  </si>
  <si>
    <t>Weird! All supplements together match no supplements at all! Huh?!</t>
  </si>
  <si>
    <t>these treatments 6 and 7 were consistently the best across both genotypes.</t>
  </si>
  <si>
    <t xml:space="preserve">I am definitely seeing some consistent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</si>
</sst>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C3B7-5D88-DA46-9FCD-EFE1F31FF872}">
  <dimension ref="A1:CT38"/>
  <sheetViews>
    <sheetView tabSelected="1" workbookViewId="0">
      <selection activeCell="O24" sqref="O24"/>
    </sheetView>
  </sheetViews>
  <sheetFormatPr baseColWidth="10" defaultRowHeight="16" x14ac:dyDescent="0.2"/>
  <sheetData>
    <row r="1" spans="1:98" x14ac:dyDescent="0.2">
      <c r="A1" t="s">
        <v>0</v>
      </c>
    </row>
    <row r="2" spans="1:98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5</v>
      </c>
      <c r="J2" t="s">
        <v>7</v>
      </c>
      <c r="K2">
        <v>5</v>
      </c>
      <c r="O2">
        <v>1</v>
      </c>
      <c r="P2">
        <v>595</v>
      </c>
      <c r="Q2">
        <v>1</v>
      </c>
      <c r="R2">
        <v>12</v>
      </c>
      <c r="S2">
        <v>96</v>
      </c>
      <c r="T2">
        <v>1</v>
      </c>
      <c r="U2">
        <v>4</v>
      </c>
    </row>
    <row r="3" spans="1:98" x14ac:dyDescent="0.2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  <c r="BS3" t="s">
        <v>77</v>
      </c>
      <c r="BT3" t="s">
        <v>78</v>
      </c>
      <c r="BU3" t="s">
        <v>79</v>
      </c>
      <c r="BV3" t="s">
        <v>80</v>
      </c>
      <c r="BW3" t="s">
        <v>81</v>
      </c>
      <c r="BX3" t="s">
        <v>82</v>
      </c>
      <c r="BY3" t="s">
        <v>83</v>
      </c>
      <c r="BZ3" t="s">
        <v>84</v>
      </c>
      <c r="CA3" t="s">
        <v>85</v>
      </c>
      <c r="CB3" t="s">
        <v>86</v>
      </c>
      <c r="CC3" t="s">
        <v>87</v>
      </c>
      <c r="CD3" t="s">
        <v>88</v>
      </c>
      <c r="CE3" t="s">
        <v>89</v>
      </c>
      <c r="CF3" t="s">
        <v>90</v>
      </c>
      <c r="CG3" t="s">
        <v>91</v>
      </c>
      <c r="CH3" t="s">
        <v>92</v>
      </c>
      <c r="CI3" t="s">
        <v>93</v>
      </c>
      <c r="CJ3" t="s">
        <v>94</v>
      </c>
      <c r="CK3" t="s">
        <v>95</v>
      </c>
      <c r="CL3" t="s">
        <v>96</v>
      </c>
      <c r="CM3" t="s">
        <v>97</v>
      </c>
      <c r="CN3" t="s">
        <v>98</v>
      </c>
      <c r="CO3" t="s">
        <v>99</v>
      </c>
      <c r="CP3" t="s">
        <v>100</v>
      </c>
      <c r="CQ3" t="s">
        <v>101</v>
      </c>
      <c r="CR3" t="s">
        <v>102</v>
      </c>
      <c r="CS3" t="s">
        <v>103</v>
      </c>
      <c r="CT3" t="s">
        <v>104</v>
      </c>
    </row>
    <row r="4" spans="1:98" x14ac:dyDescent="0.2">
      <c r="A4">
        <v>1</v>
      </c>
      <c r="B4">
        <v>29.9</v>
      </c>
      <c r="C4">
        <v>0.11169999999999999</v>
      </c>
      <c r="D4">
        <v>0.11990000000000001</v>
      </c>
      <c r="E4">
        <v>0.1042</v>
      </c>
      <c r="F4">
        <v>0.1024</v>
      </c>
      <c r="G4">
        <v>0.1007</v>
      </c>
      <c r="H4">
        <v>0.1094</v>
      </c>
      <c r="I4">
        <v>0.13900000000000001</v>
      </c>
      <c r="J4">
        <v>0.1268</v>
      </c>
      <c r="K4">
        <v>0.1303</v>
      </c>
      <c r="L4">
        <v>0.1134</v>
      </c>
      <c r="M4">
        <v>0.1135</v>
      </c>
      <c r="N4">
        <v>0.1144</v>
      </c>
      <c r="O4">
        <v>0.1023</v>
      </c>
      <c r="P4">
        <v>0.1069</v>
      </c>
      <c r="Q4">
        <v>0.1032</v>
      </c>
      <c r="R4">
        <v>0.10639999999999999</v>
      </c>
      <c r="S4">
        <v>0.12540000000000001</v>
      </c>
      <c r="T4">
        <v>0.12759999999999999</v>
      </c>
      <c r="U4">
        <v>0.18940000000000001</v>
      </c>
      <c r="V4">
        <v>0.18559999999999999</v>
      </c>
      <c r="W4">
        <v>0.22800000000000001</v>
      </c>
      <c r="X4">
        <v>0.18720000000000001</v>
      </c>
      <c r="Y4">
        <v>0.19589999999999999</v>
      </c>
      <c r="Z4">
        <v>0.16789999999999999</v>
      </c>
      <c r="AA4">
        <v>0.1013</v>
      </c>
      <c r="AB4">
        <v>9.8599999999999993E-2</v>
      </c>
      <c r="AC4">
        <v>0.113</v>
      </c>
      <c r="AD4">
        <v>0.10199999999999999</v>
      </c>
      <c r="AE4">
        <v>0.1343</v>
      </c>
      <c r="AF4">
        <v>0.1384</v>
      </c>
      <c r="AG4">
        <v>0.16650000000000001</v>
      </c>
      <c r="AH4">
        <v>0.17499999999999999</v>
      </c>
      <c r="AI4">
        <v>0.18909999999999999</v>
      </c>
      <c r="AJ4">
        <v>0.18659999999999999</v>
      </c>
      <c r="AK4">
        <v>0.18390000000000001</v>
      </c>
      <c r="AL4">
        <v>0.16980000000000001</v>
      </c>
      <c r="AM4">
        <v>0.10249999999999999</v>
      </c>
      <c r="AN4">
        <v>0.1042</v>
      </c>
      <c r="AO4">
        <v>0.1028</v>
      </c>
      <c r="AP4">
        <v>0.1074</v>
      </c>
      <c r="AQ4">
        <v>9.7500000000000003E-2</v>
      </c>
      <c r="AR4">
        <v>0.1008</v>
      </c>
      <c r="AS4">
        <v>0.1033</v>
      </c>
      <c r="AT4">
        <v>0.104</v>
      </c>
      <c r="AU4">
        <v>0.1066</v>
      </c>
      <c r="AV4">
        <v>0.1179</v>
      </c>
      <c r="AW4">
        <v>0.13350000000000001</v>
      </c>
      <c r="AX4">
        <v>0.126</v>
      </c>
    </row>
    <row r="5" spans="1:98" x14ac:dyDescent="0.2">
      <c r="A5">
        <v>2</v>
      </c>
      <c r="B5">
        <v>29.9</v>
      </c>
      <c r="C5">
        <v>0.1099</v>
      </c>
      <c r="D5">
        <v>0.112</v>
      </c>
      <c r="E5">
        <v>0.1013</v>
      </c>
      <c r="F5">
        <v>9.8599999999999993E-2</v>
      </c>
      <c r="G5">
        <v>9.7000000000000003E-2</v>
      </c>
      <c r="H5">
        <v>0.1066</v>
      </c>
      <c r="I5">
        <v>0.1384</v>
      </c>
      <c r="J5">
        <v>0.1263</v>
      </c>
      <c r="K5">
        <v>0.13730000000000001</v>
      </c>
      <c r="L5">
        <v>0.11609999999999999</v>
      </c>
      <c r="M5">
        <v>0.1153</v>
      </c>
      <c r="N5">
        <v>0.11550000000000001</v>
      </c>
      <c r="O5">
        <v>0.11070000000000001</v>
      </c>
      <c r="P5">
        <v>0.11650000000000001</v>
      </c>
      <c r="Q5">
        <v>0.10290000000000001</v>
      </c>
      <c r="R5">
        <v>0.1072</v>
      </c>
      <c r="S5">
        <v>0.13059999999999999</v>
      </c>
      <c r="T5">
        <v>0.13830000000000001</v>
      </c>
      <c r="U5">
        <v>0.1865</v>
      </c>
      <c r="V5">
        <v>0.19159999999999999</v>
      </c>
      <c r="W5">
        <v>0.22420000000000001</v>
      </c>
      <c r="X5">
        <v>0.18809999999999999</v>
      </c>
      <c r="Y5">
        <v>0.20480000000000001</v>
      </c>
      <c r="Z5">
        <v>0.1613</v>
      </c>
      <c r="AA5">
        <v>0.1075</v>
      </c>
      <c r="AB5">
        <v>0.10390000000000001</v>
      </c>
      <c r="AC5">
        <v>0.1095</v>
      </c>
      <c r="AD5">
        <v>0.1008</v>
      </c>
      <c r="AE5">
        <v>0.1406</v>
      </c>
      <c r="AF5">
        <v>0.1389</v>
      </c>
      <c r="AG5">
        <v>0.17119999999999999</v>
      </c>
      <c r="AH5">
        <v>0.1757</v>
      </c>
      <c r="AI5">
        <v>0.18920000000000001</v>
      </c>
      <c r="AJ5">
        <v>0.19850000000000001</v>
      </c>
      <c r="AK5">
        <v>0.18870000000000001</v>
      </c>
      <c r="AL5">
        <v>0.1673</v>
      </c>
      <c r="AM5">
        <v>0.1027</v>
      </c>
      <c r="AN5">
        <v>0.1061</v>
      </c>
      <c r="AO5">
        <v>0.1095</v>
      </c>
      <c r="AP5">
        <v>0.1142</v>
      </c>
      <c r="AQ5">
        <v>9.9900000000000003E-2</v>
      </c>
      <c r="AR5">
        <v>0.10299999999999999</v>
      </c>
      <c r="AS5">
        <v>0.10440000000000001</v>
      </c>
      <c r="AT5">
        <v>0.1043</v>
      </c>
      <c r="AU5">
        <v>0.108</v>
      </c>
      <c r="AV5">
        <v>0.12130000000000001</v>
      </c>
      <c r="AW5">
        <v>0.13339999999999999</v>
      </c>
      <c r="AX5">
        <v>0.1303</v>
      </c>
    </row>
    <row r="6" spans="1:98" x14ac:dyDescent="0.2">
      <c r="A6">
        <v>3</v>
      </c>
      <c r="B6">
        <v>29.9</v>
      </c>
      <c r="C6">
        <v>0.1208</v>
      </c>
      <c r="D6">
        <v>0.1147</v>
      </c>
      <c r="E6">
        <v>0.1018</v>
      </c>
      <c r="F6">
        <v>9.8500000000000004E-2</v>
      </c>
      <c r="G6">
        <v>9.9400000000000002E-2</v>
      </c>
      <c r="H6">
        <v>0.1082</v>
      </c>
      <c r="I6">
        <v>0.13819999999999999</v>
      </c>
      <c r="J6">
        <v>0.1265</v>
      </c>
      <c r="K6">
        <v>0.14219999999999999</v>
      </c>
      <c r="L6">
        <v>0.12540000000000001</v>
      </c>
      <c r="M6">
        <v>0.11899999999999999</v>
      </c>
      <c r="N6">
        <v>0.1137</v>
      </c>
      <c r="O6">
        <v>0.1124</v>
      </c>
      <c r="P6">
        <v>0.11840000000000001</v>
      </c>
      <c r="Q6">
        <v>0.106</v>
      </c>
      <c r="R6">
        <v>0.11</v>
      </c>
      <c r="S6">
        <v>0.13100000000000001</v>
      </c>
      <c r="T6">
        <v>0.14069999999999999</v>
      </c>
      <c r="U6">
        <v>0.189</v>
      </c>
      <c r="V6">
        <v>0.1986</v>
      </c>
      <c r="W6">
        <v>0.22040000000000001</v>
      </c>
      <c r="X6">
        <v>0.193</v>
      </c>
      <c r="Y6">
        <v>0.21340000000000001</v>
      </c>
      <c r="Z6">
        <v>0.1578</v>
      </c>
      <c r="AA6">
        <v>0.10970000000000001</v>
      </c>
      <c r="AB6">
        <v>0.1071</v>
      </c>
      <c r="AC6">
        <v>0.1094</v>
      </c>
      <c r="AD6">
        <v>0.1004</v>
      </c>
      <c r="AE6">
        <v>0.14499999999999999</v>
      </c>
      <c r="AF6">
        <v>0.1414</v>
      </c>
      <c r="AG6">
        <v>0.17469999999999999</v>
      </c>
      <c r="AH6">
        <v>0.18049999999999999</v>
      </c>
      <c r="AI6">
        <v>0.19220000000000001</v>
      </c>
      <c r="AJ6">
        <v>0.19789999999999999</v>
      </c>
      <c r="AK6">
        <v>0.19159999999999999</v>
      </c>
      <c r="AL6">
        <v>0.16320000000000001</v>
      </c>
      <c r="AM6">
        <v>0.1138</v>
      </c>
      <c r="AN6">
        <v>0.10639999999999999</v>
      </c>
      <c r="AO6">
        <v>0.11360000000000001</v>
      </c>
      <c r="AP6">
        <v>0.11940000000000001</v>
      </c>
      <c r="AQ6">
        <v>0.10730000000000001</v>
      </c>
      <c r="AR6">
        <v>0.1045</v>
      </c>
      <c r="AS6">
        <v>0.1061</v>
      </c>
      <c r="AT6">
        <v>0.1072</v>
      </c>
      <c r="AU6">
        <v>0.1129</v>
      </c>
      <c r="AV6">
        <v>0.126</v>
      </c>
      <c r="AW6">
        <v>0.1386</v>
      </c>
      <c r="AX6">
        <v>0.13639999999999999</v>
      </c>
    </row>
    <row r="7" spans="1:98" x14ac:dyDescent="0.2">
      <c r="A7">
        <v>4</v>
      </c>
      <c r="B7">
        <v>29.9</v>
      </c>
      <c r="C7">
        <v>0.1197</v>
      </c>
      <c r="D7">
        <v>0.11070000000000001</v>
      </c>
      <c r="E7">
        <v>0.10290000000000001</v>
      </c>
      <c r="F7">
        <v>9.7100000000000006E-2</v>
      </c>
      <c r="G7">
        <v>9.9599999999999994E-2</v>
      </c>
      <c r="H7">
        <v>0.1081</v>
      </c>
      <c r="I7">
        <v>0.1389</v>
      </c>
      <c r="J7">
        <v>0.129</v>
      </c>
      <c r="K7">
        <v>0.14360000000000001</v>
      </c>
      <c r="L7">
        <v>0.1298</v>
      </c>
      <c r="M7">
        <v>0.1208</v>
      </c>
      <c r="N7">
        <v>0.1176</v>
      </c>
      <c r="O7">
        <v>0.11509999999999999</v>
      </c>
      <c r="P7">
        <v>0.11</v>
      </c>
      <c r="Q7">
        <v>0.1144</v>
      </c>
      <c r="R7">
        <v>0.10829999999999999</v>
      </c>
      <c r="S7">
        <v>0.1203</v>
      </c>
      <c r="T7">
        <v>0.12809999999999999</v>
      </c>
      <c r="U7">
        <v>0.18779999999999999</v>
      </c>
      <c r="V7">
        <v>0.2006</v>
      </c>
      <c r="W7">
        <v>0.2145</v>
      </c>
      <c r="X7">
        <v>0.20219999999999999</v>
      </c>
      <c r="Y7">
        <v>0.2034</v>
      </c>
      <c r="Z7">
        <v>0.14280000000000001</v>
      </c>
      <c r="AA7">
        <v>0.111</v>
      </c>
      <c r="AB7">
        <v>0.11119999999999999</v>
      </c>
      <c r="AC7">
        <v>0.1115</v>
      </c>
      <c r="AD7">
        <v>0.1018</v>
      </c>
      <c r="AE7">
        <v>0.15429999999999999</v>
      </c>
      <c r="AF7">
        <v>0.14069999999999999</v>
      </c>
      <c r="AG7">
        <v>0.1782</v>
      </c>
      <c r="AH7">
        <v>0.1855</v>
      </c>
      <c r="AI7">
        <v>0.19350000000000001</v>
      </c>
      <c r="AJ7">
        <v>0.20269999999999999</v>
      </c>
      <c r="AK7">
        <v>0.19320000000000001</v>
      </c>
      <c r="AL7">
        <v>0.15970000000000001</v>
      </c>
      <c r="AM7">
        <v>0.123</v>
      </c>
      <c r="AN7">
        <v>0.1217</v>
      </c>
      <c r="AO7">
        <v>0.1123</v>
      </c>
      <c r="AP7">
        <v>0.1191</v>
      </c>
      <c r="AQ7">
        <v>0.11890000000000001</v>
      </c>
      <c r="AR7">
        <v>0.11650000000000001</v>
      </c>
      <c r="AS7">
        <v>0.1099</v>
      </c>
      <c r="AT7">
        <v>0.1147</v>
      </c>
      <c r="AU7">
        <v>0.1217</v>
      </c>
      <c r="AV7">
        <v>0.12909999999999999</v>
      </c>
      <c r="AW7">
        <v>0.14180000000000001</v>
      </c>
      <c r="AX7">
        <v>0.14660000000000001</v>
      </c>
    </row>
    <row r="8" spans="1:98" x14ac:dyDescent="0.2">
      <c r="A8">
        <v>5</v>
      </c>
      <c r="B8">
        <v>29.9</v>
      </c>
      <c r="C8">
        <v>0.1183</v>
      </c>
      <c r="D8">
        <v>0.10920000000000001</v>
      </c>
      <c r="E8">
        <v>0.10539999999999999</v>
      </c>
      <c r="F8">
        <v>9.9400000000000002E-2</v>
      </c>
      <c r="G8">
        <v>0.1087</v>
      </c>
      <c r="H8">
        <v>0.11</v>
      </c>
      <c r="I8">
        <v>0.13850000000000001</v>
      </c>
      <c r="J8">
        <v>0.1326</v>
      </c>
      <c r="K8">
        <v>0.1424</v>
      </c>
      <c r="L8">
        <v>0.12870000000000001</v>
      </c>
      <c r="M8">
        <v>0.12330000000000001</v>
      </c>
      <c r="N8">
        <v>0.1244</v>
      </c>
      <c r="O8">
        <v>0.1153</v>
      </c>
      <c r="P8">
        <v>0.1105</v>
      </c>
      <c r="Q8">
        <v>0.1094</v>
      </c>
      <c r="R8">
        <v>0.1061</v>
      </c>
      <c r="S8">
        <v>0.1231</v>
      </c>
      <c r="T8">
        <v>0.13389999999999999</v>
      </c>
      <c r="U8">
        <v>0.16919999999999999</v>
      </c>
      <c r="V8">
        <v>0.18479999999999999</v>
      </c>
      <c r="W8">
        <v>0.20799999999999999</v>
      </c>
      <c r="X8">
        <v>0.19289999999999999</v>
      </c>
      <c r="Y8">
        <v>0.21740000000000001</v>
      </c>
      <c r="Z8">
        <v>0.12529999999999999</v>
      </c>
      <c r="AA8">
        <v>0.11260000000000001</v>
      </c>
      <c r="AB8">
        <v>0.1139</v>
      </c>
      <c r="AC8">
        <v>0.1106</v>
      </c>
      <c r="AD8">
        <v>0.105</v>
      </c>
      <c r="AE8">
        <v>0.157</v>
      </c>
      <c r="AF8">
        <v>0.14979999999999999</v>
      </c>
      <c r="AG8">
        <v>0.17860000000000001</v>
      </c>
      <c r="AH8">
        <v>0.18590000000000001</v>
      </c>
      <c r="AI8">
        <v>0.1938</v>
      </c>
      <c r="AJ8">
        <v>0.21390000000000001</v>
      </c>
      <c r="AK8">
        <v>0.19450000000000001</v>
      </c>
      <c r="AL8">
        <v>0.156</v>
      </c>
      <c r="AM8">
        <v>0.12870000000000001</v>
      </c>
      <c r="AN8">
        <v>0.1061</v>
      </c>
      <c r="AO8">
        <v>0.1081</v>
      </c>
      <c r="AP8">
        <v>0.1119</v>
      </c>
      <c r="AQ8">
        <v>0.1174</v>
      </c>
      <c r="AR8">
        <v>0.1196</v>
      </c>
      <c r="AS8">
        <v>0.10390000000000001</v>
      </c>
      <c r="AT8">
        <v>0.1235</v>
      </c>
      <c r="AU8">
        <v>0.123</v>
      </c>
      <c r="AV8">
        <v>0.1338</v>
      </c>
      <c r="AW8">
        <v>0.15620000000000001</v>
      </c>
      <c r="AX8">
        <v>0.13600000000000001</v>
      </c>
    </row>
    <row r="10" spans="1:98" x14ac:dyDescent="0.2">
      <c r="A10" t="s">
        <v>105</v>
      </c>
    </row>
    <row r="11" spans="1:98" x14ac:dyDescent="0.2">
      <c r="A11" t="s">
        <v>106</v>
      </c>
    </row>
    <row r="12" spans="1:98" x14ac:dyDescent="0.2">
      <c r="C12" s="1">
        <f>(C4-0.06674)/0.0466</f>
        <v>0.96480686695278961</v>
      </c>
      <c r="D12" s="1">
        <f t="shared" ref="D12:AX16" si="0">(D4-0.06674)/0.0466</f>
        <v>1.1407725321888413</v>
      </c>
      <c r="E12" s="1">
        <f t="shared" si="0"/>
        <v>0.80386266094420611</v>
      </c>
      <c r="F12" s="1">
        <f t="shared" si="0"/>
        <v>0.76523605150214613</v>
      </c>
      <c r="G12" s="1">
        <f t="shared" si="0"/>
        <v>0.72875536480686698</v>
      </c>
      <c r="H12" s="1">
        <f t="shared" si="0"/>
        <v>0.91545064377682406</v>
      </c>
      <c r="I12" s="1">
        <f t="shared" si="0"/>
        <v>1.5506437768240346</v>
      </c>
      <c r="J12" s="1">
        <f t="shared" si="0"/>
        <v>1.2888412017167381</v>
      </c>
      <c r="K12" s="1">
        <f t="shared" si="0"/>
        <v>1.3639484978540772</v>
      </c>
      <c r="L12" s="1">
        <f t="shared" si="0"/>
        <v>1.0012875536480688</v>
      </c>
      <c r="M12" s="1">
        <f t="shared" si="0"/>
        <v>1.00343347639485</v>
      </c>
      <c r="N12" s="1">
        <f t="shared" si="0"/>
        <v>1.0227467811158799</v>
      </c>
      <c r="O12" s="1">
        <f t="shared" si="0"/>
        <v>0.76309012875536497</v>
      </c>
      <c r="P12" s="1">
        <f t="shared" si="0"/>
        <v>0.86180257510729608</v>
      </c>
      <c r="Q12" s="1">
        <f t="shared" si="0"/>
        <v>0.78240343347639496</v>
      </c>
      <c r="R12" s="1">
        <f t="shared" si="0"/>
        <v>0.8510729613733905</v>
      </c>
      <c r="S12" s="1">
        <f t="shared" si="0"/>
        <v>1.258798283261803</v>
      </c>
      <c r="T12" s="1">
        <f t="shared" si="0"/>
        <v>1.3060085836909869</v>
      </c>
      <c r="U12" s="1">
        <f t="shared" si="0"/>
        <v>2.6321888412017169</v>
      </c>
      <c r="V12" s="1">
        <f t="shared" si="0"/>
        <v>2.550643776824034</v>
      </c>
      <c r="W12" s="1">
        <f t="shared" si="0"/>
        <v>3.4605150214592277</v>
      </c>
      <c r="X12" s="1">
        <f t="shared" si="0"/>
        <v>2.5849785407725321</v>
      </c>
      <c r="Y12" s="1">
        <f t="shared" si="0"/>
        <v>2.7716738197424893</v>
      </c>
      <c r="Z12" s="1">
        <f t="shared" si="0"/>
        <v>2.1708154506437767</v>
      </c>
      <c r="AA12" s="1">
        <f t="shared" si="0"/>
        <v>0.74163090128755371</v>
      </c>
      <c r="AB12" s="1">
        <f t="shared" si="0"/>
        <v>0.68369098712446352</v>
      </c>
      <c r="AC12" s="1">
        <f t="shared" si="0"/>
        <v>0.99270386266094435</v>
      </c>
      <c r="AD12" s="1">
        <f t="shared" si="0"/>
        <v>0.75665236051502138</v>
      </c>
      <c r="AE12" s="1">
        <f t="shared" si="0"/>
        <v>1.4497854077253221</v>
      </c>
      <c r="AF12" s="1">
        <f t="shared" si="0"/>
        <v>1.5377682403433477</v>
      </c>
      <c r="AG12" s="1">
        <f t="shared" si="0"/>
        <v>2.1407725321888416</v>
      </c>
      <c r="AH12" s="1">
        <f t="shared" si="0"/>
        <v>2.3231759656652358</v>
      </c>
      <c r="AI12" s="1">
        <f t="shared" si="0"/>
        <v>2.6257510729613731</v>
      </c>
      <c r="AJ12" s="1">
        <f t="shared" si="0"/>
        <v>2.5721030042918454</v>
      </c>
      <c r="AK12" s="1">
        <f t="shared" si="0"/>
        <v>2.5141630901287555</v>
      </c>
      <c r="AL12" s="1">
        <f t="shared" si="0"/>
        <v>2.2115879828326181</v>
      </c>
      <c r="AM12" s="1">
        <f t="shared" si="0"/>
        <v>0.76738197424892696</v>
      </c>
      <c r="AN12" s="1">
        <f t="shared" si="0"/>
        <v>0.80386266094420611</v>
      </c>
      <c r="AO12" s="1">
        <f t="shared" si="0"/>
        <v>0.77381974248927055</v>
      </c>
      <c r="AP12" s="1">
        <f t="shared" si="0"/>
        <v>0.87253218884120176</v>
      </c>
      <c r="AQ12" s="1">
        <f t="shared" si="0"/>
        <v>0.66008583690987144</v>
      </c>
      <c r="AR12" s="1">
        <f t="shared" si="0"/>
        <v>0.73090128755364814</v>
      </c>
      <c r="AS12" s="1">
        <f t="shared" si="0"/>
        <v>0.78454935622317612</v>
      </c>
      <c r="AT12" s="1">
        <f t="shared" si="0"/>
        <v>0.79957081545064379</v>
      </c>
      <c r="AU12" s="1">
        <f t="shared" si="0"/>
        <v>0.85536480686695293</v>
      </c>
      <c r="AV12" s="1">
        <f t="shared" si="0"/>
        <v>1.097854077253219</v>
      </c>
      <c r="AW12" s="1">
        <f t="shared" si="0"/>
        <v>1.4326180257510732</v>
      </c>
      <c r="AX12" s="1">
        <f t="shared" si="0"/>
        <v>1.2716738197424893</v>
      </c>
    </row>
    <row r="13" spans="1:98" x14ac:dyDescent="0.2">
      <c r="C13" s="1">
        <f t="shared" ref="C13:R16" si="1">(C5-0.06674)/0.0466</f>
        <v>0.92618025751072963</v>
      </c>
      <c r="D13" s="1">
        <f t="shared" si="1"/>
        <v>0.9712446351931332</v>
      </c>
      <c r="E13" s="1">
        <f t="shared" si="1"/>
        <v>0.74163090128755371</v>
      </c>
      <c r="F13" s="1">
        <f t="shared" si="1"/>
        <v>0.68369098712446352</v>
      </c>
      <c r="G13" s="1">
        <f t="shared" si="1"/>
        <v>0.64935622317596586</v>
      </c>
      <c r="H13" s="1">
        <f t="shared" si="1"/>
        <v>0.85536480686695293</v>
      </c>
      <c r="I13" s="1">
        <f t="shared" si="1"/>
        <v>1.5377682403433477</v>
      </c>
      <c r="J13" s="1">
        <f t="shared" si="1"/>
        <v>1.2781115879828326</v>
      </c>
      <c r="K13" s="1">
        <f t="shared" si="1"/>
        <v>1.5141630901287555</v>
      </c>
      <c r="L13" s="1">
        <f t="shared" si="1"/>
        <v>1.0592274678111588</v>
      </c>
      <c r="M13" s="1">
        <f t="shared" si="1"/>
        <v>1.04206008583691</v>
      </c>
      <c r="N13" s="1">
        <f t="shared" si="1"/>
        <v>1.0463519313304723</v>
      </c>
      <c r="O13" s="1">
        <f t="shared" si="1"/>
        <v>0.94334763948497879</v>
      </c>
      <c r="P13" s="1">
        <f t="shared" si="1"/>
        <v>1.0678111587982835</v>
      </c>
      <c r="Q13" s="1">
        <f t="shared" si="1"/>
        <v>0.7759656652360517</v>
      </c>
      <c r="R13" s="1">
        <f t="shared" si="1"/>
        <v>0.86824034334763966</v>
      </c>
      <c r="S13" s="1">
        <f t="shared" si="0"/>
        <v>1.3703862660944206</v>
      </c>
      <c r="T13" s="1">
        <f t="shared" si="0"/>
        <v>1.5356223175965666</v>
      </c>
      <c r="U13" s="1">
        <f t="shared" si="0"/>
        <v>2.5699570815450645</v>
      </c>
      <c r="V13" s="1">
        <f t="shared" si="0"/>
        <v>2.6793991416309013</v>
      </c>
      <c r="W13" s="1">
        <f t="shared" si="0"/>
        <v>3.3789699570815452</v>
      </c>
      <c r="X13" s="1">
        <f t="shared" si="0"/>
        <v>2.6042918454935622</v>
      </c>
      <c r="Y13" s="1">
        <f t="shared" si="0"/>
        <v>2.9626609442060086</v>
      </c>
      <c r="Z13" s="1">
        <f t="shared" si="0"/>
        <v>2.0291845493562231</v>
      </c>
      <c r="AA13" s="1">
        <f t="shared" si="0"/>
        <v>0.87467811158798292</v>
      </c>
      <c r="AB13" s="1">
        <f t="shared" si="0"/>
        <v>0.79742489270386285</v>
      </c>
      <c r="AC13" s="1">
        <f t="shared" si="0"/>
        <v>0.91759656652360522</v>
      </c>
      <c r="AD13" s="1">
        <f t="shared" si="0"/>
        <v>0.73090128755364814</v>
      </c>
      <c r="AE13" s="1">
        <f t="shared" si="0"/>
        <v>1.5849785407725323</v>
      </c>
      <c r="AF13" s="1">
        <f t="shared" si="0"/>
        <v>1.5484978540772532</v>
      </c>
      <c r="AG13" s="1">
        <f t="shared" si="0"/>
        <v>2.2416309012875533</v>
      </c>
      <c r="AH13" s="1">
        <f t="shared" si="0"/>
        <v>2.3381974248927038</v>
      </c>
      <c r="AI13" s="1">
        <f t="shared" si="0"/>
        <v>2.6278969957081548</v>
      </c>
      <c r="AJ13" s="1">
        <f t="shared" si="0"/>
        <v>2.8274678111587983</v>
      </c>
      <c r="AK13" s="1">
        <f t="shared" si="0"/>
        <v>2.6171673819742489</v>
      </c>
      <c r="AL13" s="1">
        <f t="shared" si="0"/>
        <v>2.1579399141630904</v>
      </c>
      <c r="AM13" s="1">
        <f t="shared" si="0"/>
        <v>0.77167381974248939</v>
      </c>
      <c r="AN13" s="1">
        <f t="shared" si="0"/>
        <v>0.84463519313304725</v>
      </c>
      <c r="AO13" s="1">
        <f t="shared" si="0"/>
        <v>0.91759656652360522</v>
      </c>
      <c r="AP13" s="1">
        <f t="shared" si="0"/>
        <v>1.0184549356223176</v>
      </c>
      <c r="AQ13" s="1">
        <f t="shared" si="0"/>
        <v>0.71158798283261815</v>
      </c>
      <c r="AR13" s="1">
        <f t="shared" si="0"/>
        <v>0.77811158798283264</v>
      </c>
      <c r="AS13" s="1">
        <f t="shared" si="0"/>
        <v>0.80815450643776843</v>
      </c>
      <c r="AT13" s="1">
        <f t="shared" si="0"/>
        <v>0.80600858369098727</v>
      </c>
      <c r="AU13" s="1">
        <f t="shared" si="0"/>
        <v>0.88540772532188849</v>
      </c>
      <c r="AV13" s="1">
        <f t="shared" si="0"/>
        <v>1.1708154506437769</v>
      </c>
      <c r="AW13" s="1">
        <f t="shared" si="0"/>
        <v>1.4304721030042917</v>
      </c>
      <c r="AX13" s="1">
        <f t="shared" si="0"/>
        <v>1.3639484978540772</v>
      </c>
    </row>
    <row r="14" spans="1:98" x14ac:dyDescent="0.2">
      <c r="C14" s="1">
        <f t="shared" si="1"/>
        <v>1.1600858369098714</v>
      </c>
      <c r="D14" s="1">
        <f t="shared" si="0"/>
        <v>1.0291845493562233</v>
      </c>
      <c r="E14" s="1">
        <f t="shared" si="0"/>
        <v>0.7523605150214594</v>
      </c>
      <c r="F14" s="1">
        <f t="shared" si="0"/>
        <v>0.68154506437768259</v>
      </c>
      <c r="G14" s="1">
        <f t="shared" si="0"/>
        <v>0.70085836909871257</v>
      </c>
      <c r="H14" s="1">
        <f t="shared" si="0"/>
        <v>0.88969957081545081</v>
      </c>
      <c r="I14" s="1">
        <f t="shared" si="0"/>
        <v>1.5334763948497852</v>
      </c>
      <c r="J14" s="1">
        <f t="shared" si="0"/>
        <v>1.282403433476395</v>
      </c>
      <c r="K14" s="1">
        <f t="shared" si="0"/>
        <v>1.61931330472103</v>
      </c>
      <c r="L14" s="1">
        <f t="shared" si="0"/>
        <v>1.258798283261803</v>
      </c>
      <c r="M14" s="1">
        <f t="shared" si="0"/>
        <v>1.121459227467811</v>
      </c>
      <c r="N14" s="1">
        <f t="shared" si="0"/>
        <v>1.0077253218884119</v>
      </c>
      <c r="O14" s="1">
        <f t="shared" si="0"/>
        <v>0.97982832618025761</v>
      </c>
      <c r="P14" s="1">
        <f t="shared" si="0"/>
        <v>1.1085836909871247</v>
      </c>
      <c r="Q14" s="1">
        <f t="shared" si="0"/>
        <v>0.84248927038626609</v>
      </c>
      <c r="R14" s="1">
        <f t="shared" si="0"/>
        <v>0.92832618025751079</v>
      </c>
      <c r="S14" s="1">
        <f t="shared" si="0"/>
        <v>1.3789699570815452</v>
      </c>
      <c r="T14" s="1">
        <f t="shared" si="0"/>
        <v>1.5871244635193131</v>
      </c>
      <c r="U14" s="1">
        <f t="shared" si="0"/>
        <v>2.6236051502145923</v>
      </c>
      <c r="V14" s="1">
        <f t="shared" si="0"/>
        <v>2.8296137339055791</v>
      </c>
      <c r="W14" s="1">
        <f t="shared" si="0"/>
        <v>3.2974248927038627</v>
      </c>
      <c r="X14" s="1">
        <f t="shared" si="0"/>
        <v>2.7094420600858369</v>
      </c>
      <c r="Y14" s="1">
        <f t="shared" si="0"/>
        <v>3.1472103004291845</v>
      </c>
      <c r="Z14" s="1">
        <f t="shared" si="0"/>
        <v>1.9540772532188841</v>
      </c>
      <c r="AA14" s="1">
        <f t="shared" si="0"/>
        <v>0.92188841201716754</v>
      </c>
      <c r="AB14" s="1">
        <f t="shared" si="0"/>
        <v>0.86609442060085851</v>
      </c>
      <c r="AC14" s="1">
        <f t="shared" si="0"/>
        <v>0.91545064377682406</v>
      </c>
      <c r="AD14" s="1">
        <f t="shared" si="0"/>
        <v>0.72231759656652372</v>
      </c>
      <c r="AE14" s="1">
        <f t="shared" si="0"/>
        <v>1.6793991416309011</v>
      </c>
      <c r="AF14" s="1">
        <f t="shared" si="0"/>
        <v>1.6021459227467811</v>
      </c>
      <c r="AG14" s="1">
        <f t="shared" si="0"/>
        <v>2.3167381974248924</v>
      </c>
      <c r="AH14" s="1">
        <f t="shared" si="0"/>
        <v>2.4412017167381972</v>
      </c>
      <c r="AI14" s="1">
        <f t="shared" si="0"/>
        <v>2.692274678111588</v>
      </c>
      <c r="AJ14" s="1">
        <f t="shared" si="0"/>
        <v>2.8145922746781116</v>
      </c>
      <c r="AK14" s="1">
        <f t="shared" si="0"/>
        <v>2.6793991416309013</v>
      </c>
      <c r="AL14" s="1">
        <f t="shared" si="0"/>
        <v>2.0699570815450645</v>
      </c>
      <c r="AM14" s="1">
        <f t="shared" si="0"/>
        <v>1.0098712446351932</v>
      </c>
      <c r="AN14" s="1">
        <f t="shared" si="0"/>
        <v>0.8510729613733905</v>
      </c>
      <c r="AO14" s="1">
        <f t="shared" si="0"/>
        <v>1.0055793991416311</v>
      </c>
      <c r="AP14" s="1">
        <f t="shared" si="0"/>
        <v>1.1300429184549359</v>
      </c>
      <c r="AQ14" s="1">
        <f t="shared" si="0"/>
        <v>0.87038626609442082</v>
      </c>
      <c r="AR14" s="1">
        <f t="shared" si="0"/>
        <v>0.81030042918454936</v>
      </c>
      <c r="AS14" s="1">
        <f t="shared" si="0"/>
        <v>0.84463519313304725</v>
      </c>
      <c r="AT14" s="1">
        <f t="shared" si="0"/>
        <v>0.86824034334763966</v>
      </c>
      <c r="AU14" s="1">
        <f t="shared" si="0"/>
        <v>0.99055793991416319</v>
      </c>
      <c r="AV14" s="1">
        <f t="shared" si="0"/>
        <v>1.2716738197424893</v>
      </c>
      <c r="AW14" s="1">
        <f t="shared" si="0"/>
        <v>1.54206008583691</v>
      </c>
      <c r="AX14" s="1">
        <f t="shared" si="0"/>
        <v>1.4948497854077252</v>
      </c>
    </row>
    <row r="15" spans="1:98" x14ac:dyDescent="0.2">
      <c r="C15" s="1">
        <f t="shared" si="1"/>
        <v>1.136480686695279</v>
      </c>
      <c r="D15" s="1">
        <f t="shared" si="0"/>
        <v>0.94334763948497879</v>
      </c>
      <c r="E15" s="1">
        <f t="shared" si="0"/>
        <v>0.7759656652360517</v>
      </c>
      <c r="F15" s="1">
        <f t="shared" si="0"/>
        <v>0.65150214592274702</v>
      </c>
      <c r="G15" s="1">
        <f t="shared" si="0"/>
        <v>0.70515021459227467</v>
      </c>
      <c r="H15" s="1">
        <f t="shared" si="0"/>
        <v>0.88755364806866965</v>
      </c>
      <c r="I15" s="1">
        <f t="shared" si="0"/>
        <v>1.5484978540772532</v>
      </c>
      <c r="J15" s="1">
        <f t="shared" si="0"/>
        <v>1.3360515021459229</v>
      </c>
      <c r="K15" s="1">
        <f t="shared" si="0"/>
        <v>1.6493562231759658</v>
      </c>
      <c r="L15" s="1">
        <f t="shared" si="0"/>
        <v>1.3532188841201718</v>
      </c>
      <c r="M15" s="1">
        <f t="shared" si="0"/>
        <v>1.1600858369098714</v>
      </c>
      <c r="N15" s="1">
        <f t="shared" si="0"/>
        <v>1.0914163090128755</v>
      </c>
      <c r="O15" s="1">
        <f t="shared" si="0"/>
        <v>1.0377682403433477</v>
      </c>
      <c r="P15" s="1">
        <f t="shared" si="0"/>
        <v>0.92832618025751079</v>
      </c>
      <c r="Q15" s="1">
        <f t="shared" si="0"/>
        <v>1.0227467811158799</v>
      </c>
      <c r="R15" s="1">
        <f t="shared" si="0"/>
        <v>0.89184549356223175</v>
      </c>
      <c r="S15" s="1">
        <f t="shared" si="0"/>
        <v>1.1493562231759658</v>
      </c>
      <c r="T15" s="1">
        <f t="shared" si="0"/>
        <v>1.3167381974248926</v>
      </c>
      <c r="U15" s="1">
        <f t="shared" si="0"/>
        <v>2.5978540772532188</v>
      </c>
      <c r="V15" s="1">
        <f t="shared" si="0"/>
        <v>2.8725321888412019</v>
      </c>
      <c r="W15" s="1">
        <f t="shared" si="0"/>
        <v>3.1708154506437767</v>
      </c>
      <c r="X15" s="1">
        <f t="shared" si="0"/>
        <v>2.9068669527896995</v>
      </c>
      <c r="Y15" s="1">
        <f t="shared" si="0"/>
        <v>2.932618025751073</v>
      </c>
      <c r="Z15" s="1">
        <f t="shared" si="0"/>
        <v>1.6321888412017169</v>
      </c>
      <c r="AA15" s="1">
        <f t="shared" si="0"/>
        <v>0.94978540772532205</v>
      </c>
      <c r="AB15" s="1">
        <f t="shared" si="0"/>
        <v>0.95407725321888404</v>
      </c>
      <c r="AC15" s="1">
        <f t="shared" si="0"/>
        <v>0.96051502145922762</v>
      </c>
      <c r="AD15" s="1">
        <f t="shared" si="0"/>
        <v>0.7523605150214594</v>
      </c>
      <c r="AE15" s="1">
        <f t="shared" si="0"/>
        <v>1.878969957081545</v>
      </c>
      <c r="AF15" s="1">
        <f t="shared" si="0"/>
        <v>1.5871244635193131</v>
      </c>
      <c r="AG15" s="1">
        <f t="shared" si="0"/>
        <v>2.3918454935622315</v>
      </c>
      <c r="AH15" s="1">
        <f t="shared" si="0"/>
        <v>2.5484978540772532</v>
      </c>
      <c r="AI15" s="1">
        <f t="shared" si="0"/>
        <v>2.7201716738197428</v>
      </c>
      <c r="AJ15" s="1">
        <f t="shared" si="0"/>
        <v>2.917596566523605</v>
      </c>
      <c r="AK15" s="1">
        <f t="shared" si="0"/>
        <v>2.7137339055793994</v>
      </c>
      <c r="AL15" s="1">
        <f t="shared" si="0"/>
        <v>1.9948497854077256</v>
      </c>
      <c r="AM15" s="1">
        <f t="shared" si="0"/>
        <v>1.2072961373390558</v>
      </c>
      <c r="AN15" s="1">
        <f t="shared" si="0"/>
        <v>1.1793991416309013</v>
      </c>
      <c r="AO15" s="1">
        <f t="shared" si="0"/>
        <v>0.97768240343347645</v>
      </c>
      <c r="AP15" s="1">
        <f t="shared" si="0"/>
        <v>1.1236051502145923</v>
      </c>
      <c r="AQ15" s="1">
        <f t="shared" si="0"/>
        <v>1.1193133047210302</v>
      </c>
      <c r="AR15" s="1">
        <f t="shared" si="0"/>
        <v>1.0678111587982835</v>
      </c>
      <c r="AS15" s="1">
        <f t="shared" si="0"/>
        <v>0.92618025751072963</v>
      </c>
      <c r="AT15" s="1">
        <f t="shared" si="0"/>
        <v>1.0291845493562233</v>
      </c>
      <c r="AU15" s="1">
        <f t="shared" si="0"/>
        <v>1.1793991416309013</v>
      </c>
      <c r="AV15" s="1">
        <f t="shared" si="0"/>
        <v>1.3381974248927038</v>
      </c>
      <c r="AW15" s="1">
        <f t="shared" si="0"/>
        <v>1.6107296137339058</v>
      </c>
      <c r="AX15" s="1">
        <f t="shared" si="0"/>
        <v>1.7137339055793994</v>
      </c>
    </row>
    <row r="16" spans="1:98" x14ac:dyDescent="0.2">
      <c r="C16" s="1">
        <f t="shared" si="1"/>
        <v>1.1064377682403435</v>
      </c>
      <c r="D16" s="1">
        <f t="shared" si="0"/>
        <v>0.91115879828326196</v>
      </c>
      <c r="E16" s="1">
        <f t="shared" si="0"/>
        <v>0.82961373390557935</v>
      </c>
      <c r="F16" s="1">
        <f t="shared" si="0"/>
        <v>0.70085836909871257</v>
      </c>
      <c r="G16" s="1">
        <f t="shared" si="0"/>
        <v>0.90042918454935639</v>
      </c>
      <c r="H16" s="1">
        <f t="shared" si="0"/>
        <v>0.92832618025751079</v>
      </c>
      <c r="I16" s="1">
        <f t="shared" si="0"/>
        <v>1.539914163090129</v>
      </c>
      <c r="J16" s="1">
        <f t="shared" si="0"/>
        <v>1.4133047210300429</v>
      </c>
      <c r="K16" s="1">
        <f t="shared" si="0"/>
        <v>1.6236051502145923</v>
      </c>
      <c r="L16" s="1">
        <f t="shared" si="0"/>
        <v>1.3296137339055796</v>
      </c>
      <c r="M16" s="1">
        <f t="shared" si="0"/>
        <v>1.2137339055793994</v>
      </c>
      <c r="N16" s="1">
        <f t="shared" si="0"/>
        <v>1.2373390557939914</v>
      </c>
      <c r="O16" s="1">
        <f t="shared" si="0"/>
        <v>1.04206008583691</v>
      </c>
      <c r="P16" s="1">
        <f t="shared" si="0"/>
        <v>0.93905579399141637</v>
      </c>
      <c r="Q16" s="1">
        <f t="shared" si="0"/>
        <v>0.91545064377682406</v>
      </c>
      <c r="R16" s="1">
        <f t="shared" si="0"/>
        <v>0.84463519313304725</v>
      </c>
      <c r="S16" s="1">
        <f t="shared" si="0"/>
        <v>1.2094420600858371</v>
      </c>
      <c r="T16" s="1">
        <f t="shared" si="0"/>
        <v>1.4412017167381972</v>
      </c>
      <c r="U16" s="1">
        <f t="shared" si="0"/>
        <v>2.198712446351931</v>
      </c>
      <c r="V16" s="1">
        <f t="shared" si="0"/>
        <v>2.5334763948497852</v>
      </c>
      <c r="W16" s="1">
        <f t="shared" si="0"/>
        <v>3.0313304721030039</v>
      </c>
      <c r="X16" s="1">
        <f t="shared" si="0"/>
        <v>2.7072961373390556</v>
      </c>
      <c r="Y16" s="1">
        <f t="shared" si="0"/>
        <v>3.2330472103004295</v>
      </c>
      <c r="Z16" s="1">
        <f t="shared" si="0"/>
        <v>1.2566523605150215</v>
      </c>
      <c r="AA16" s="1">
        <f t="shared" si="0"/>
        <v>0.98412017167381993</v>
      </c>
      <c r="AB16" s="1">
        <f t="shared" si="0"/>
        <v>1.0120171673819744</v>
      </c>
      <c r="AC16" s="1">
        <f t="shared" si="0"/>
        <v>0.94120171673819764</v>
      </c>
      <c r="AD16" s="1">
        <f t="shared" si="0"/>
        <v>0.82103004291845494</v>
      </c>
      <c r="AE16" s="1">
        <f t="shared" si="0"/>
        <v>1.9369098712446353</v>
      </c>
      <c r="AF16" s="1">
        <f t="shared" si="0"/>
        <v>1.7824034334763947</v>
      </c>
      <c r="AG16" s="1">
        <f t="shared" si="0"/>
        <v>2.4004291845493566</v>
      </c>
      <c r="AH16" s="1">
        <f t="shared" si="0"/>
        <v>2.5570815450643778</v>
      </c>
      <c r="AI16" s="1">
        <f t="shared" si="0"/>
        <v>2.7266094420600857</v>
      </c>
      <c r="AJ16" s="1">
        <f t="shared" si="0"/>
        <v>3.1579399141630904</v>
      </c>
      <c r="AK16" s="1">
        <f t="shared" si="0"/>
        <v>2.7416309012875537</v>
      </c>
      <c r="AL16" s="1">
        <f t="shared" si="0"/>
        <v>1.9154506437768242</v>
      </c>
      <c r="AM16" s="1">
        <f t="shared" si="0"/>
        <v>1.3296137339055796</v>
      </c>
      <c r="AN16" s="1">
        <f t="shared" si="0"/>
        <v>0.84463519313304725</v>
      </c>
      <c r="AO16" s="1">
        <f t="shared" si="0"/>
        <v>0.88755364806866965</v>
      </c>
      <c r="AP16" s="1">
        <f t="shared" si="0"/>
        <v>0.96909871244635204</v>
      </c>
      <c r="AQ16" s="1">
        <f t="shared" si="0"/>
        <v>1.0871244635193136</v>
      </c>
      <c r="AR16" s="1">
        <f t="shared" si="0"/>
        <v>1.134334763948498</v>
      </c>
      <c r="AS16" s="1">
        <f t="shared" si="0"/>
        <v>0.79742489270386285</v>
      </c>
      <c r="AT16" s="1">
        <f t="shared" si="0"/>
        <v>1.2180257510729615</v>
      </c>
      <c r="AU16" s="1">
        <f t="shared" si="0"/>
        <v>1.2072961373390558</v>
      </c>
      <c r="AV16" s="1">
        <f t="shared" si="0"/>
        <v>1.4390557939914164</v>
      </c>
      <c r="AW16" s="1">
        <f t="shared" si="0"/>
        <v>1.9197424892703865</v>
      </c>
      <c r="AX16" s="1">
        <f t="shared" si="0"/>
        <v>1.4862660944206012</v>
      </c>
    </row>
    <row r="17" spans="2:51" x14ac:dyDescent="0.2">
      <c r="B17" t="s">
        <v>107</v>
      </c>
    </row>
    <row r="18" spans="2:51" x14ac:dyDescent="0.2">
      <c r="C18" s="1">
        <f>AVERAGE(C12:C16)</f>
        <v>1.0587982832618028</v>
      </c>
      <c r="D18" s="1">
        <f t="shared" ref="D18:AX18" si="2">AVERAGE(D12:D16)</f>
        <v>0.99914163090128782</v>
      </c>
      <c r="E18" s="1">
        <f t="shared" si="2"/>
        <v>0.78068669527897006</v>
      </c>
      <c r="F18" s="1">
        <f t="shared" si="2"/>
        <v>0.69656652360515037</v>
      </c>
      <c r="G18" s="1">
        <f t="shared" si="2"/>
        <v>0.73690987124463536</v>
      </c>
      <c r="H18" s="1">
        <f t="shared" si="2"/>
        <v>0.89527896995708167</v>
      </c>
      <c r="I18" s="1">
        <f t="shared" si="2"/>
        <v>1.5420600858369098</v>
      </c>
      <c r="J18" s="1">
        <f t="shared" si="2"/>
        <v>1.3197424892703864</v>
      </c>
      <c r="K18" s="1">
        <f t="shared" si="2"/>
        <v>1.554077253218884</v>
      </c>
      <c r="L18" s="1">
        <f t="shared" si="2"/>
        <v>1.2004291845493564</v>
      </c>
      <c r="M18" s="1">
        <f t="shared" si="2"/>
        <v>1.1081545064377685</v>
      </c>
      <c r="N18" s="1">
        <f t="shared" si="2"/>
        <v>1.081115879828326</v>
      </c>
      <c r="O18" s="1">
        <f t="shared" si="2"/>
        <v>0.95321888412017175</v>
      </c>
      <c r="P18" s="1">
        <f t="shared" si="2"/>
        <v>0.98111587982832626</v>
      </c>
      <c r="Q18" s="1">
        <f t="shared" si="2"/>
        <v>0.8678111587982833</v>
      </c>
      <c r="R18" s="1">
        <f t="shared" si="2"/>
        <v>0.87682403433476408</v>
      </c>
      <c r="S18" s="1">
        <f t="shared" si="2"/>
        <v>1.2733905579399143</v>
      </c>
      <c r="T18" s="1">
        <f t="shared" si="2"/>
        <v>1.4373390557939911</v>
      </c>
      <c r="U18" s="1">
        <f t="shared" si="2"/>
        <v>2.5244635193133051</v>
      </c>
      <c r="V18" s="1">
        <f t="shared" si="2"/>
        <v>2.6931330472103001</v>
      </c>
      <c r="W18" s="1">
        <f t="shared" si="2"/>
        <v>3.2678111587982834</v>
      </c>
      <c r="X18" s="1">
        <f t="shared" si="2"/>
        <v>2.7025751072961373</v>
      </c>
      <c r="Y18" s="1">
        <f t="shared" si="2"/>
        <v>3.0094420600858371</v>
      </c>
      <c r="Z18" s="1">
        <f t="shared" si="2"/>
        <v>1.8085836909871245</v>
      </c>
      <c r="AA18" s="1">
        <f t="shared" si="2"/>
        <v>0.89442060085836927</v>
      </c>
      <c r="AB18" s="1">
        <f t="shared" si="2"/>
        <v>0.8626609442060087</v>
      </c>
      <c r="AC18" s="1">
        <f t="shared" si="2"/>
        <v>0.94549356223175995</v>
      </c>
      <c r="AD18" s="1">
        <f t="shared" si="2"/>
        <v>0.75665236051502149</v>
      </c>
      <c r="AE18" s="1">
        <f t="shared" si="2"/>
        <v>1.7060085836909871</v>
      </c>
      <c r="AF18" s="1">
        <f t="shared" si="2"/>
        <v>1.6115879828326178</v>
      </c>
      <c r="AG18" s="1">
        <f t="shared" si="2"/>
        <v>2.2982832618025748</v>
      </c>
      <c r="AH18" s="1">
        <f t="shared" si="2"/>
        <v>2.4416309012875534</v>
      </c>
      <c r="AI18" s="1">
        <f t="shared" si="2"/>
        <v>2.6785407725321893</v>
      </c>
      <c r="AJ18" s="1">
        <f t="shared" si="2"/>
        <v>2.8579399141630901</v>
      </c>
      <c r="AK18" s="1">
        <f t="shared" si="2"/>
        <v>2.6532188841201716</v>
      </c>
      <c r="AL18" s="1">
        <f t="shared" si="2"/>
        <v>2.0699570815450645</v>
      </c>
      <c r="AM18" s="1">
        <f t="shared" si="2"/>
        <v>1.0171673819742491</v>
      </c>
      <c r="AN18" s="1">
        <f t="shared" si="2"/>
        <v>0.90472103004291848</v>
      </c>
      <c r="AO18" s="1">
        <f t="shared" si="2"/>
        <v>0.91244635193133061</v>
      </c>
      <c r="AP18" s="1">
        <f t="shared" si="2"/>
        <v>1.0227467811158799</v>
      </c>
      <c r="AQ18" s="1">
        <f t="shared" si="2"/>
        <v>0.88969957081545081</v>
      </c>
      <c r="AR18" s="1">
        <f t="shared" si="2"/>
        <v>0.90429184549356234</v>
      </c>
      <c r="AS18" s="1">
        <f t="shared" si="2"/>
        <v>0.83218884120171688</v>
      </c>
      <c r="AT18" s="1">
        <f t="shared" si="2"/>
        <v>0.94420600858369108</v>
      </c>
      <c r="AU18" s="1">
        <f t="shared" si="2"/>
        <v>1.0236051502145922</v>
      </c>
      <c r="AV18" s="1">
        <f t="shared" si="2"/>
        <v>1.2635193133047209</v>
      </c>
      <c r="AW18" s="1">
        <f t="shared" si="2"/>
        <v>1.5871244635193134</v>
      </c>
      <c r="AX18" s="1">
        <f t="shared" si="2"/>
        <v>1.4660944206008584</v>
      </c>
      <c r="AY18" s="1"/>
    </row>
    <row r="19" spans="2:51" x14ac:dyDescent="0.2">
      <c r="B19" t="s">
        <v>108</v>
      </c>
    </row>
    <row r="20" spans="2:51" x14ac:dyDescent="0.2">
      <c r="B20" t="s">
        <v>109</v>
      </c>
      <c r="C20" s="1">
        <f>AVERAGE(C12:C16)</f>
        <v>1.0587982832618028</v>
      </c>
      <c r="D20" s="1">
        <f t="shared" ref="D20:N20" si="3">AVERAGE(D12:D16)</f>
        <v>0.99914163090128782</v>
      </c>
      <c r="E20" s="1">
        <f t="shared" si="3"/>
        <v>0.78068669527897006</v>
      </c>
      <c r="F20" s="1">
        <f t="shared" si="3"/>
        <v>0.69656652360515037</v>
      </c>
      <c r="G20" s="1">
        <f t="shared" si="3"/>
        <v>0.73690987124463536</v>
      </c>
      <c r="H20" s="1">
        <f t="shared" si="3"/>
        <v>0.89527896995708167</v>
      </c>
      <c r="I20" s="1">
        <f t="shared" si="3"/>
        <v>1.5420600858369098</v>
      </c>
      <c r="J20" s="1">
        <f t="shared" si="3"/>
        <v>1.3197424892703864</v>
      </c>
      <c r="K20" s="1">
        <f t="shared" si="3"/>
        <v>1.554077253218884</v>
      </c>
      <c r="L20" s="1">
        <f t="shared" si="3"/>
        <v>1.2004291845493564</v>
      </c>
      <c r="M20" s="1">
        <f t="shared" si="3"/>
        <v>1.1081545064377685</v>
      </c>
      <c r="N20" s="1">
        <f t="shared" si="3"/>
        <v>1.081115879828326</v>
      </c>
    </row>
    <row r="21" spans="2:51" x14ac:dyDescent="0.2">
      <c r="B21" t="s">
        <v>110</v>
      </c>
      <c r="C21" s="1">
        <f>AVERAGE(O12:O16)</f>
        <v>0.95321888412017175</v>
      </c>
      <c r="D21" s="1">
        <f t="shared" ref="D21:N21" si="4">AVERAGE(P12:P16)</f>
        <v>0.98111587982832626</v>
      </c>
      <c r="E21" s="1">
        <f t="shared" si="4"/>
        <v>0.8678111587982833</v>
      </c>
      <c r="F21" s="1">
        <f t="shared" si="4"/>
        <v>0.87682403433476408</v>
      </c>
      <c r="G21" s="1">
        <f t="shared" si="4"/>
        <v>1.2733905579399143</v>
      </c>
      <c r="H21" s="1">
        <f t="shared" si="4"/>
        <v>1.4373390557939911</v>
      </c>
      <c r="I21" s="1">
        <f t="shared" si="4"/>
        <v>2.5244635193133051</v>
      </c>
      <c r="J21" s="1">
        <f t="shared" si="4"/>
        <v>2.6931330472103001</v>
      </c>
      <c r="K21" s="1">
        <f t="shared" si="4"/>
        <v>3.2678111587982834</v>
      </c>
      <c r="L21" s="1">
        <f t="shared" si="4"/>
        <v>2.7025751072961373</v>
      </c>
      <c r="M21" s="1">
        <f t="shared" si="4"/>
        <v>3.0094420600858371</v>
      </c>
      <c r="N21" s="1">
        <f t="shared" si="4"/>
        <v>1.8085836909871245</v>
      </c>
    </row>
    <row r="22" spans="2:51" x14ac:dyDescent="0.2">
      <c r="B22" t="s">
        <v>111</v>
      </c>
      <c r="C22" s="1">
        <f>AVERAGE(AA12:AA16)</f>
        <v>0.89442060085836927</v>
      </c>
      <c r="D22" s="1">
        <f t="shared" ref="D22:N22" si="5">AVERAGE(AB12:AB16)</f>
        <v>0.8626609442060087</v>
      </c>
      <c r="E22" s="1">
        <f t="shared" si="5"/>
        <v>0.94549356223175995</v>
      </c>
      <c r="F22" s="1">
        <f t="shared" si="5"/>
        <v>0.75665236051502149</v>
      </c>
      <c r="G22" s="1">
        <f t="shared" si="5"/>
        <v>1.7060085836909871</v>
      </c>
      <c r="H22" s="1">
        <f t="shared" si="5"/>
        <v>1.6115879828326178</v>
      </c>
      <c r="I22" s="1">
        <f t="shared" si="5"/>
        <v>2.2982832618025748</v>
      </c>
      <c r="J22" s="1">
        <f t="shared" si="5"/>
        <v>2.4416309012875534</v>
      </c>
      <c r="K22" s="1">
        <f t="shared" si="5"/>
        <v>2.6785407725321893</v>
      </c>
      <c r="L22" s="1">
        <f t="shared" si="5"/>
        <v>2.8579399141630901</v>
      </c>
      <c r="M22" s="1">
        <f t="shared" si="5"/>
        <v>2.6532188841201716</v>
      </c>
      <c r="N22" s="1">
        <f t="shared" si="5"/>
        <v>2.0699570815450645</v>
      </c>
    </row>
    <row r="23" spans="2:51" x14ac:dyDescent="0.2">
      <c r="B23" t="s">
        <v>112</v>
      </c>
      <c r="C23" s="1">
        <f>AVERAGE(AM12:AM16)</f>
        <v>1.0171673819742491</v>
      </c>
      <c r="D23" s="1">
        <f t="shared" ref="D23:N23" si="6">AVERAGE(AN12:AN16)</f>
        <v>0.90472103004291848</v>
      </c>
      <c r="E23" s="1">
        <f t="shared" si="6"/>
        <v>0.91244635193133061</v>
      </c>
      <c r="F23" s="1">
        <f t="shared" si="6"/>
        <v>1.0227467811158799</v>
      </c>
      <c r="G23" s="1">
        <f t="shared" si="6"/>
        <v>0.88969957081545081</v>
      </c>
      <c r="H23" s="1">
        <f t="shared" si="6"/>
        <v>0.90429184549356234</v>
      </c>
      <c r="I23" s="1">
        <f t="shared" si="6"/>
        <v>0.83218884120171688</v>
      </c>
      <c r="J23" s="1">
        <f t="shared" si="6"/>
        <v>0.94420600858369108</v>
      </c>
      <c r="K23" s="1">
        <f t="shared" si="6"/>
        <v>1.0236051502145922</v>
      </c>
      <c r="L23" s="1">
        <f t="shared" si="6"/>
        <v>1.2635193133047209</v>
      </c>
      <c r="M23" s="1">
        <f t="shared" si="6"/>
        <v>1.5871244635193134</v>
      </c>
      <c r="N23" s="1">
        <f t="shared" si="6"/>
        <v>1.4660944206008584</v>
      </c>
    </row>
    <row r="24" spans="2:51" x14ac:dyDescent="0.2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</row>
    <row r="25" spans="2:51" x14ac:dyDescent="0.2">
      <c r="C25" s="1" t="s">
        <v>114</v>
      </c>
      <c r="D25" s="1"/>
      <c r="E25" s="1"/>
      <c r="F25" s="1"/>
      <c r="G25" s="1"/>
      <c r="H25" s="1"/>
      <c r="I25" s="1" t="s">
        <v>115</v>
      </c>
      <c r="J25" s="1"/>
      <c r="K25" s="1"/>
      <c r="L25" s="1"/>
    </row>
    <row r="28" spans="2:51" x14ac:dyDescent="0.2">
      <c r="B28" t="s">
        <v>113</v>
      </c>
    </row>
    <row r="29" spans="2:51" x14ac:dyDescent="0.2">
      <c r="B29">
        <v>1</v>
      </c>
      <c r="C29" s="1">
        <f>AVERAGE(C20:E20)</f>
        <v>0.9462088698140203</v>
      </c>
      <c r="D29" s="1">
        <f>AVERAGE(I20:K20)</f>
        <v>1.4719599427753931</v>
      </c>
      <c r="E29" s="1"/>
      <c r="F29" s="1"/>
      <c r="G29" s="1"/>
      <c r="H29" s="1"/>
      <c r="I29" s="1"/>
      <c r="J29" s="1"/>
      <c r="K29" s="1"/>
      <c r="L29" s="1"/>
    </row>
    <row r="30" spans="2:51" x14ac:dyDescent="0.2">
      <c r="B30">
        <v>2</v>
      </c>
      <c r="C30" s="1">
        <f t="shared" ref="C30:C32" si="7">AVERAGE(C21:E21)</f>
        <v>0.93404864091559381</v>
      </c>
      <c r="D30" s="1">
        <f t="shared" ref="D30:D32" si="8">AVERAGE(I21:K21)</f>
        <v>2.8284692417739628</v>
      </c>
    </row>
    <row r="31" spans="2:51" x14ac:dyDescent="0.2">
      <c r="B31">
        <v>3</v>
      </c>
      <c r="C31" s="1">
        <f t="shared" si="7"/>
        <v>0.90085836909871253</v>
      </c>
      <c r="D31" s="1">
        <f t="shared" si="8"/>
        <v>2.4728183118741058</v>
      </c>
      <c r="E31" s="1"/>
      <c r="F31" s="1"/>
      <c r="G31" s="1"/>
      <c r="H31" s="1"/>
      <c r="I31" s="1"/>
      <c r="J31" s="1"/>
      <c r="K31" s="1"/>
      <c r="L31" s="1"/>
    </row>
    <row r="32" spans="2:51" x14ac:dyDescent="0.2">
      <c r="B32">
        <v>4</v>
      </c>
      <c r="C32" s="1">
        <f t="shared" si="7"/>
        <v>0.94477825464949949</v>
      </c>
      <c r="D32" s="1">
        <f t="shared" si="8"/>
        <v>0.93333333333333346</v>
      </c>
    </row>
    <row r="33" spans="2:5" x14ac:dyDescent="0.2">
      <c r="B33">
        <v>5</v>
      </c>
      <c r="C33" s="1">
        <f>AVERAGE(F20:H20)</f>
        <v>0.7762517882689558</v>
      </c>
      <c r="D33" s="1">
        <f>AVERAGE(L20:N20)</f>
        <v>1.1298998569384837</v>
      </c>
    </row>
    <row r="34" spans="2:5" x14ac:dyDescent="0.2">
      <c r="B34">
        <v>6</v>
      </c>
      <c r="C34" s="1">
        <f t="shared" ref="C34:C36" si="9">AVERAGE(F21:H21)</f>
        <v>1.1958512160228898</v>
      </c>
      <c r="D34" s="1">
        <f t="shared" ref="D34:D36" si="10">AVERAGE(L21:N21)</f>
        <v>2.5068669527896996</v>
      </c>
      <c r="E34" t="s">
        <v>117</v>
      </c>
    </row>
    <row r="35" spans="2:5" x14ac:dyDescent="0.2">
      <c r="B35">
        <v>7</v>
      </c>
      <c r="C35" s="1">
        <f t="shared" si="9"/>
        <v>1.3580829756795421</v>
      </c>
      <c r="D35" s="1">
        <f t="shared" si="10"/>
        <v>2.5270386266094422</v>
      </c>
    </row>
    <row r="36" spans="2:5" x14ac:dyDescent="0.2">
      <c r="B36">
        <v>8</v>
      </c>
      <c r="C36" s="1">
        <f t="shared" si="9"/>
        <v>0.93891273247496443</v>
      </c>
      <c r="D36" s="1">
        <f t="shared" si="10"/>
        <v>1.4389127324749642</v>
      </c>
      <c r="E36" t="s">
        <v>116</v>
      </c>
    </row>
    <row r="37" spans="2:5" x14ac:dyDescent="0.2">
      <c r="C37" t="s">
        <v>114</v>
      </c>
      <c r="D37" t="s">
        <v>115</v>
      </c>
    </row>
    <row r="38" spans="2:5" x14ac:dyDescent="0.2">
      <c r="E38" t="s">
        <v>118</v>
      </c>
    </row>
  </sheetData>
  <conditionalFormatting sqref="C29:D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L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260122_rom_supplements_pombe_be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2026-01-23T18:17:38Z</dcterms:created>
  <dcterms:modified xsi:type="dcterms:W3CDTF">2026-01-30T20:48:37Z</dcterms:modified>
</cp:coreProperties>
</file>